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a78f40a20141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基本信息" sheetId="1" r:id="R78102dcedb6246e3"/>
    <x:sheet xmlns:r="http://schemas.openxmlformats.org/officeDocument/2006/relationships" name="关键尺寸" sheetId="2" r:id="R3873c051a66b44ad"/>
    <x:sheet xmlns:r="http://schemas.openxmlformats.org/officeDocument/2006/relationships" name="层门洞口" sheetId="3" r:id="R707009a1e4aa4771"/>
    <x:sheet xmlns:r="http://schemas.openxmlformats.org/officeDocument/2006/relationships" name="风险清单" sheetId="4" r:id="R1c76a449ac724997"/>
    <x:sheet xmlns:r="http://schemas.openxmlformats.org/officeDocument/2006/relationships" name="照片索引" sheetId="5" r:id="R4281b5db63134d8c"/>
    <x:sheet xmlns:r="http://schemas.openxmlformats.org/officeDocument/2006/relationships" name="报告汇总" sheetId="6" r:id="R777bfaa2642846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4"/>
      <x:color rgb="FF17324D"/>
      <x:name val="Carlito"/>
    </x:font>
    <x:font>
      <x:b/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1F7"/>
      </x:patternFill>
    </x:fill>
    <x:fill>
      <x:patternFill patternType="solid">
        <x:fgColor rgb="FFF2F6FA"/>
      </x:patternFill>
    </x:fill>
    <x:fill>
      <x:patternFill patternType="solid">
        <x:fgColor rgb="FF17324D"/>
      </x:patternFill>
    </x:fill>
  </x:fills>
  <x:borders count="13">
    <x:border/>
    <x:border>
      <x:bottom/>
    </x:border>
    <x:border>
      <x:top/>
      <x:bottom/>
    </x:border>
    <x:border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top/>
      <x:bottom/>
    </x:border>
    <x:border>
      <x:left/>
      <x:right/>
      <x:bottom/>
    </x:border>
    <x:border>
      <x:left/>
      <x:right/>
      <x:top/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1" xfId="0" applyNumberFormat="1" applyFont="1" applyFill="1" applyBorder="1"/>
    <x:xf numFmtId="0" fontId="4" fillId="3" borderId="2" xfId="0" applyNumberFormat="1" applyFont="1" applyFill="1" applyBorder="1"/>
    <x:xf numFmtId="0" fontId="0" fillId="0" borderId="2" xfId="0" applyNumberFormat="1" applyFont="1" applyFill="1" applyBorder="1"/>
    <x:xf numFmtId="0" fontId="4" fillId="3" borderId="3" xfId="0" applyNumberFormat="1" applyFont="1" applyFill="1" applyBorder="1"/>
    <x:xf numFmtId="0" fontId="0" fillId="0" borderId="3" xfId="0" applyNumberFormat="1" applyFont="1" applyFill="1" applyBorder="1"/>
    <x:xf numFmtId="0" fontId="4" fillId="3" borderId="4" xfId="0" applyNumberFormat="1" applyFont="1" applyFill="1" applyBorder="1"/>
    <x:xf numFmtId="0" fontId="0" fillId="0" borderId="5" xfId="0" applyNumberFormat="1" applyFont="1" applyFill="1" applyBorder="1"/>
    <x:xf numFmtId="0" fontId="4" fillId="3" borderId="6" xfId="0" applyNumberFormat="1" applyFont="1" applyFill="1" applyBorder="1"/>
    <x:xf numFmtId="0" fontId="0" fillId="0" borderId="7" xfId="0" applyNumberFormat="1" applyFont="1" applyFill="1" applyBorder="1"/>
    <x:xf numFmtId="0" fontId="4" fillId="3" borderId="8" xfId="0" applyNumberFormat="1" applyFont="1" applyFill="1" applyBorder="1"/>
    <x:xf numFmtId="0" fontId="0" fillId="0" borderId="9" xfId="0" applyNumberFormat="1" applyFont="1" applyFill="1" applyBorder="1"/>
    <x:xf numFmtId="0" fontId="4" fillId="3" borderId="10" xfId="0" applyNumberFormat="1" applyFont="1" applyFill="1" applyBorder="1"/>
    <x:xf numFmtId="0" fontId="0" fillId="0" borderId="1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/>
    </x:xf>
    <x:xf numFmtId="0" fontId="6" fillId="4" borderId="4" xfId="0" applyNumberFormat="1" applyFont="1" applyFill="1" applyBorder="1" applyAlignment="1">
      <x:alignment horizontal="center"/>
    </x:xf>
    <x:xf numFmtId="0" fontId="6" fillId="4" borderId="11" xfId="0" applyNumberFormat="1" applyFont="1" applyFill="1" applyBorder="1" applyAlignment="1">
      <x:alignment horizontal="center"/>
    </x:xf>
    <x:xf numFmtId="0" fontId="6" fillId="4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/>
    <x:xf numFmtId="0" fontId="0" fillId="0" borderId="8" xfId="0" applyNumberFormat="1" applyFont="1" applyFill="1" applyBorder="1"/>
    <x:xf numFmtId="0" fontId="0" fillId="0" borderId="12" xfId="0" applyNumberFormat="1" applyFont="1" applyFill="1" applyBorder="1"/>
    <x:xf numFmtId="0" fontId="6" fillId="4" borderId="6" xfId="0" applyNumberFormat="1" applyFont="1" applyFill="1" applyBorder="1" applyAlignment="1">
      <x:alignment horizontal="center"/>
    </x:xf>
    <x:xf numFmtId="0" fontId="6" fillId="4" borderId="10" xfId="0" applyNumberFormat="1" applyFont="1" applyFill="1" applyBorder="1" applyAlignment="1">
      <x:alignment horizontal="center"/>
    </x:xf>
    <x:xf numFmtId="0" fontId="6" fillId="4" borderId="7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4d99d4027845c7" /><Relationship Type="http://schemas.openxmlformats.org/officeDocument/2006/relationships/theme" Target="/xl/theme/theme1.xml" Id="R69a8118d78374827" /><Relationship Type="http://schemas.openxmlformats.org/officeDocument/2006/relationships/sharedStrings" Target="/xl/sharedStrings.xml" Id="Rc4355323aaa04efb" /><Relationship Type="http://schemas.openxmlformats.org/officeDocument/2006/relationships/worksheet" Target="/xl/worksheets/sheet1.xml" Id="R78102dcedb6246e3" /><Relationship Type="http://schemas.openxmlformats.org/officeDocument/2006/relationships/worksheet" Target="/xl/worksheets/sheet2.xml" Id="R3873c051a66b44ad" /><Relationship Type="http://schemas.openxmlformats.org/officeDocument/2006/relationships/worksheet" Target="/xl/worksheets/sheet3.xml" Id="R707009a1e4aa4771" /><Relationship Type="http://schemas.openxmlformats.org/officeDocument/2006/relationships/worksheet" Target="/xl/worksheets/sheet4.xml" Id="R1c76a449ac724997" /><Relationship Type="http://schemas.openxmlformats.org/officeDocument/2006/relationships/worksheet" Target="/xl/worksheets/sheet5.xml" Id="R4281b5db63134d8c" /><Relationship Type="http://schemas.openxmlformats.org/officeDocument/2006/relationships/worksheet" Target="/xl/worksheets/sheet6.xml" Id="R777bfaa2642846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.440000534057617" hidden="0" customWidth="1"/>
    <x:col min="2" max="2" width="11.890000343322754" hidden="0" customWidth="1"/>
  </x:cols>
  <x:sheetData>
    <x:row r="1" ht="16.799999237060547" hidden="0" customHeight="1">
      <x:c r="A1" s="4" t="str">
        <x:v>别墅梯旧房改造现场勘测报告</x:v>
      </x:c>
      <x:c r="B1" s="4" t="str"/>
      <x:c r="C1" s="4" t="str"/>
      <x:c r="D1" s="4" t="str"/>
      <x:c r="E1" s="4" t="str"/>
      <x:c r="F1" s="4" t="str"/>
    </x:row>
    <x:row r="2"/>
    <x:row r="3" ht="15" hidden="0" customHeight="1">
      <x:c r="A3" s="19" t="str">
        <x:v>项目名称</x:v>
      </x:c>
      <x:c r="B3" s="20" t="str"/>
    </x:row>
    <x:row r="4" ht="15" hidden="0" customHeight="1">
      <x:c r="A4" s="19" t="str">
        <x:v>客户姓名</x:v>
      </x:c>
      <x:c r="B4" s="20" t="str"/>
    </x:row>
    <x:row r="5" ht="15" hidden="0" customHeight="1">
      <x:c r="A5" s="19" t="str">
        <x:v>现场地址</x:v>
      </x:c>
      <x:c r="B5" s="20" t="str"/>
    </x:row>
    <x:row r="6" ht="15" hidden="0" customHeight="1">
      <x:c r="A6" s="19" t="str">
        <x:v>建筑类型</x:v>
      </x:c>
      <x:c r="B6" s="20" t="str">
        <x:v>既有别墅 / 旧房</x:v>
      </x:c>
    </x:row>
    <x:row r="7" ht="15" hidden="0" customHeight="1">
      <x:c r="A7" s="19" t="str">
        <x:v>电梯类型意向</x:v>
      </x:c>
      <x:c r="B7" s="20" t="str">
        <x:v>别墅梯旧房改造</x:v>
      </x:c>
    </x:row>
    <x:row r="8" ht="15" hidden="0" customHeight="1">
      <x:c r="A8" s="19" t="str">
        <x:v>楼层 / 站数</x:v>
      </x:c>
      <x:c r="B8" s="20" t="str"/>
    </x:row>
    <x:row r="9" ht="15" hidden="0" customHeight="1">
      <x:c r="A9" s="19" t="str">
        <x:v>勘测日期</x:v>
      </x:c>
      <x:c r="B9" s="20" t="str"/>
    </x:row>
    <x:row r="10" ht="15" hidden="0" customHeight="1">
      <x:c r="A10" s="19" t="str">
        <x:v>勘测人员</x:v>
      </x:c>
      <x:c r="B10" s="20" t="str"/>
    </x:row>
    <x:row r="11" ht="15" hidden="0" customHeight="1">
      <x:c r="A11" s="19" t="str">
        <x:v>联系电话</x:v>
      </x:c>
      <x:c r="B11" s="20" t="str"/>
    </x:row>
    <x:row r="12" ht="15" hidden="0" customHeight="1">
      <x:c r="A12" s="19" t="str">
        <x:v>报告状态</x:v>
      </x:c>
      <x:c r="B12" s="20" t="str">
        <x:v>草稿</x:v>
      </x:c>
    </x:row>
    <x:row r="13" ht="15" hidden="0" customHeight="1">
      <x:c r="A13" s="19" t="str">
        <x:v>总体可行性</x:v>
      </x:c>
      <x:c r="B13" s="20" t="str">
        <x:v>待复核</x:v>
      </x:c>
    </x:row>
    <x:row r="14" ht="15" hidden="0" customHeight="1">
      <x:c r="A14" s="19" t="str">
        <x:v>建议下一步</x:v>
      </x:c>
      <x:c r="B14" s="20" t="str"/>
    </x:row>
    <x:row r="15" ht="15" hidden="0" customHeight="1">
      <x:c r="A15" s="19" t="str">
        <x:v>设计复核人</x:v>
      </x:c>
      <x:c r="B15" s="20" t="str"/>
    </x:row>
    <x:row r="16" ht="15" hidden="0" customHeight="1">
      <x:c r="A16" s="19" t="str">
        <x:v>报价复核人</x:v>
      </x:c>
      <x:c r="B16" s="20" t="str"/>
    </x:row>
    <x:row r="17" ht="15" hidden="0" customHeight="1">
      <x:c r="A17" s="19" t="str">
        <x:v>备注</x:v>
      </x:c>
      <x:c r="B17" s="20" t="str"/>
    </x:row>
    <x:row r="18" ht="15" hidden="0" customHeight="1">
      <x:c r="A18" s="19" t="str">
        <x:v>模板版本</x:v>
      </x:c>
      <x:c r="B18" s="20" t="str">
        <x:v>MVP 模板 v0.1</x:v>
      </x:c>
    </x:row>
    <x:row r="19"/>
    <x:row r="20"/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.7799999713897705" hidden="0" customWidth="1"/>
    <x:col min="2" max="2" width="16.780000686645508" hidden="0" customWidth="1"/>
    <x:col min="3" max="3" width="7" hidden="0" customWidth="1"/>
    <x:col min="4" max="4" width="4.329999923706055" hidden="0" customWidth="1"/>
    <x:col min="5" max="5" width="5.329999923706055" hidden="0" customWidth="1"/>
    <x:col min="6" max="6" width="5.329999923706055" hidden="0" customWidth="1"/>
    <x:col min="7" max="7" width="5.329999923706055" hidden="0" customWidth="1"/>
    <x:col min="8" max="8" width="9.779999732971191" hidden="0" customWidth="1"/>
    <x:col min="9" max="9" width="5.329999923706055" hidden="0" customWidth="1"/>
    <x:col min="10" max="10" width="7" hidden="0" customWidth="1"/>
    <x:col min="11" max="11" width="7" hidden="0" customWidth="1"/>
    <x:col min="12" max="12" width="3.7799999713897705" hidden="0" customWidth="1"/>
  </x:cols>
  <x:sheetData>
    <x:row r="1" ht="15" hidden="0" customHeight="1">
      <x:c r="A1" s="33" t="str">
        <x:v>类别</x:v>
      </x:c>
      <x:c r="B1" s="33" t="str">
        <x:v>测量项目</x:v>
      </x:c>
      <x:c r="C1" s="33" t="str">
        <x:v>报价必需</x:v>
      </x:c>
      <x:c r="D1" s="33" t="str">
        <x:v>单位</x:v>
      </x:c>
      <x:c r="E1" s="33" t="str">
        <x:v>扫描值</x:v>
      </x:c>
      <x:c r="F1" s="33" t="str">
        <x:v>人工值</x:v>
      </x:c>
      <x:c r="G1" s="33" t="str">
        <x:v>最终值</x:v>
      </x:c>
      <x:c r="H1" s="33" t="str">
        <x:v>数据来源</x:v>
      </x:c>
      <x:c r="I1" s="33" t="str">
        <x:v>置信度</x:v>
      </x:c>
      <x:c r="J1" s="33" t="str">
        <x:v>复核状态</x:v>
      </x:c>
      <x:c r="K1" s="33" t="str">
        <x:v>风险等级</x:v>
      </x:c>
      <x:c r="L1" s="33" t="str">
        <x:v>备注</x:v>
      </x:c>
    </x:row>
    <x:row r="2" ht="15" hidden="0" customHeight="1">
      <x:c r="A2" s="20" t="str">
        <x:v>井道</x:v>
      </x:c>
      <x:c r="B2" s="20" t="str">
        <x:v>井道净宽</x:v>
      </x:c>
      <x:c r="C2" s="20" t="str">
        <x:v>是</x:v>
      </x:c>
      <x:c r="D2" s="20" t="str">
        <x:v>mm</x:v>
      </x:c>
      <x:c r="E2" s="20" t="str"/>
      <x:c r="F2" s="20" t="str"/>
      <x:c r="G2" s="20" t="str"/>
      <x:c r="H2" s="20" t="str">
        <x:v>LiDAR / 人工</x:v>
      </x:c>
      <x:c r="I2" s="20" t="str">
        <x:v>中</x:v>
      </x:c>
      <x:c r="J2" s="20" t="str">
        <x:v>未复核</x:v>
      </x:c>
      <x:c r="K2" s="20" t="str">
        <x:v>未知</x:v>
      </x:c>
      <x:c r="L2" s="20" t="str"/>
    </x:row>
    <x:row r="3" ht="15" hidden="0" customHeight="1">
      <x:c r="A3" s="20" t="str">
        <x:v>井道</x:v>
      </x:c>
      <x:c r="B3" s="20" t="str">
        <x:v>井道净深</x:v>
      </x:c>
      <x:c r="C3" s="20" t="str">
        <x:v>是</x:v>
      </x:c>
      <x:c r="D3" s="20" t="str">
        <x:v>mm</x:v>
      </x:c>
      <x:c r="E3" s="20" t="str"/>
      <x:c r="F3" s="20" t="str"/>
      <x:c r="G3" s="20" t="str"/>
      <x:c r="H3" s="20" t="str">
        <x:v>LiDAR / 人工</x:v>
      </x:c>
      <x:c r="I3" s="20" t="str">
        <x:v>中</x:v>
      </x:c>
      <x:c r="J3" s="20" t="str">
        <x:v>未复核</x:v>
      </x:c>
      <x:c r="K3" s="20" t="str">
        <x:v>未知</x:v>
      </x:c>
      <x:c r="L3" s="20" t="str"/>
    </x:row>
    <x:row r="4" ht="15" hidden="0" customHeight="1">
      <x:c r="A4" s="20" t="str">
        <x:v>井道</x:v>
      </x:c>
      <x:c r="B4" s="20" t="str">
        <x:v>井道垂直偏差</x:v>
      </x:c>
      <x:c r="C4" s="20" t="str">
        <x:v>是</x:v>
      </x:c>
      <x:c r="D4" s="20" t="str">
        <x:v>mm</x:v>
      </x:c>
      <x:c r="E4" s="20" t="str"/>
      <x:c r="F4" s="20" t="str"/>
      <x:c r="G4" s="20" t="str"/>
      <x:c r="H4" s="20" t="str">
        <x:v>LiDAR 估算</x:v>
      </x:c>
      <x:c r="I4" s="20" t="str">
        <x:v>低</x:v>
      </x:c>
      <x:c r="J4" s="20" t="str">
        <x:v>未复核</x:v>
      </x:c>
      <x:c r="K4" s="20" t="str">
        <x:v>未知</x:v>
      </x:c>
      <x:c r="L4" s="20" t="str"/>
    </x:row>
    <x:row r="5" ht="15" hidden="0" customHeight="1">
      <x:c r="A5" s="20" t="str">
        <x:v>井道</x:v>
      </x:c>
      <x:c r="B5" s="20" t="str">
        <x:v>左侧墙体障碍物</x:v>
      </x:c>
      <x:c r="C5" s="20" t="str">
        <x:v>否</x:v>
      </x:c>
      <x:c r="D5" s="20" t="str">
        <x:v>文本</x:v>
      </x:c>
      <x:c r="E5" s="20" t="str"/>
      <x:c r="F5" s="20" t="str"/>
      <x:c r="G5" s="20" t="str"/>
      <x:c r="H5" s="20" t="str">
        <x:v>照片 / 人工</x:v>
      </x:c>
      <x:c r="I5" s="20" t="str">
        <x:v>中</x:v>
      </x:c>
      <x:c r="J5" s="20" t="str">
        <x:v>未复核</x:v>
      </x:c>
      <x:c r="K5" s="20" t="str">
        <x:v>未知</x:v>
      </x:c>
      <x:c r="L5" s="20" t="str"/>
    </x:row>
    <x:row r="6" ht="15" hidden="0" customHeight="1">
      <x:c r="A6" s="20" t="str">
        <x:v>井道</x:v>
      </x:c>
      <x:c r="B6" s="20" t="str">
        <x:v>右侧墙体障碍物</x:v>
      </x:c>
      <x:c r="C6" s="20" t="str">
        <x:v>否</x:v>
      </x:c>
      <x:c r="D6" s="20" t="str">
        <x:v>文本</x:v>
      </x:c>
      <x:c r="E6" s="20" t="str"/>
      <x:c r="F6" s="20" t="str"/>
      <x:c r="G6" s="20" t="str"/>
      <x:c r="H6" s="20" t="str">
        <x:v>照片 / 人工</x:v>
      </x:c>
      <x:c r="I6" s="20" t="str">
        <x:v>中</x:v>
      </x:c>
      <x:c r="J6" s="20" t="str">
        <x:v>未复核</x:v>
      </x:c>
      <x:c r="K6" s="20" t="str">
        <x:v>未知</x:v>
      </x:c>
      <x:c r="L6" s="20" t="str"/>
    </x:row>
    <x:row r="7" ht="15" hidden="0" customHeight="1">
      <x:c r="A7" s="20" t="str">
        <x:v>井道</x:v>
      </x:c>
      <x:c r="B7" s="20" t="str">
        <x:v>后墙障碍物</x:v>
      </x:c>
      <x:c r="C7" s="20" t="str">
        <x:v>否</x:v>
      </x:c>
      <x:c r="D7" s="20" t="str">
        <x:v>文本</x:v>
      </x:c>
      <x:c r="E7" s="20" t="str"/>
      <x:c r="F7" s="20" t="str"/>
      <x:c r="G7" s="20" t="str"/>
      <x:c r="H7" s="20" t="str">
        <x:v>照片 / 人工</x:v>
      </x:c>
      <x:c r="I7" s="20" t="str">
        <x:v>中</x:v>
      </x:c>
      <x:c r="J7" s="20" t="str">
        <x:v>未复核</x:v>
      </x:c>
      <x:c r="K7" s="20" t="str">
        <x:v>未知</x:v>
      </x:c>
      <x:c r="L7" s="20" t="str"/>
    </x:row>
    <x:row r="8" ht="15" hidden="0" customHeight="1">
      <x:c r="A8" s="20" t="str">
        <x:v>底坑</x:v>
      </x:c>
      <x:c r="B8" s="20" t="str">
        <x:v>底坑深度</x:v>
      </x:c>
      <x:c r="C8" s="20" t="str">
        <x:v>是</x:v>
      </x:c>
      <x:c r="D8" s="20" t="str">
        <x:v>mm</x:v>
      </x:c>
      <x:c r="E8" s="20" t="str"/>
      <x:c r="F8" s="20" t="str"/>
      <x:c r="G8" s="20" t="str"/>
      <x:c r="H8" s="20" t="str">
        <x:v>LiDAR / 人工</x:v>
      </x:c>
      <x:c r="I8" s="20" t="str">
        <x:v>中</x:v>
      </x:c>
      <x:c r="J8" s="20" t="str">
        <x:v>未复核</x:v>
      </x:c>
      <x:c r="K8" s="20" t="str">
        <x:v>未知</x:v>
      </x:c>
      <x:c r="L8" s="20" t="str"/>
    </x:row>
    <x:row r="9" ht="15" hidden="0" customHeight="1">
      <x:c r="A9" s="20" t="str">
        <x:v>底坑</x:v>
      </x:c>
      <x:c r="B9" s="20" t="str">
        <x:v>底坑净宽</x:v>
      </x:c>
      <x:c r="C9" s="20" t="str">
        <x:v>是</x:v>
      </x:c>
      <x:c r="D9" s="20" t="str">
        <x:v>mm</x:v>
      </x:c>
      <x:c r="E9" s="20" t="str"/>
      <x:c r="F9" s="20" t="str"/>
      <x:c r="G9" s="20" t="str"/>
      <x:c r="H9" s="20" t="str">
        <x:v>LiDAR / 人工</x:v>
      </x:c>
      <x:c r="I9" s="20" t="str">
        <x:v>中</x:v>
      </x:c>
      <x:c r="J9" s="20" t="str">
        <x:v>未复核</x:v>
      </x:c>
      <x:c r="K9" s="20" t="str">
        <x:v>未知</x:v>
      </x:c>
      <x:c r="L9" s="20" t="str"/>
    </x:row>
    <x:row r="10" ht="15" hidden="0" customHeight="1">
      <x:c r="A10" s="20" t="str">
        <x:v>底坑</x:v>
      </x:c>
      <x:c r="B10" s="20" t="str">
        <x:v>底坑净深</x:v>
      </x:c>
      <x:c r="C10" s="20" t="str">
        <x:v>是</x:v>
      </x:c>
      <x:c r="D10" s="20" t="str">
        <x:v>mm</x:v>
      </x:c>
      <x:c r="E10" s="20" t="str"/>
      <x:c r="F10" s="20" t="str"/>
      <x:c r="G10" s="20" t="str"/>
      <x:c r="H10" s="20" t="str">
        <x:v>LiDAR / 人工</x:v>
      </x:c>
      <x:c r="I10" s="20" t="str">
        <x:v>中</x:v>
      </x:c>
      <x:c r="J10" s="20" t="str">
        <x:v>未复核</x:v>
      </x:c>
      <x:c r="K10" s="20" t="str">
        <x:v>未知</x:v>
      </x:c>
      <x:c r="L10" s="20" t="str"/>
    </x:row>
    <x:row r="11" ht="15" hidden="0" customHeight="1">
      <x:c r="A11" s="20" t="str">
        <x:v>底坑</x:v>
      </x:c>
      <x:c r="B11" s="20" t="str">
        <x:v>积水 / 排水风险</x:v>
      </x:c>
      <x:c r="C11" s="20" t="str">
        <x:v>否</x:v>
      </x:c>
      <x:c r="D11" s="20" t="str">
        <x:v>文本</x:v>
      </x:c>
      <x:c r="E11" s="20" t="str"/>
      <x:c r="F11" s="20" t="str"/>
      <x:c r="G11" s="20" t="str"/>
      <x:c r="H11" s="20" t="str">
        <x:v>照片 / 人工</x:v>
      </x:c>
      <x:c r="I11" s="20" t="str">
        <x:v>中</x:v>
      </x:c>
      <x:c r="J11" s="20" t="str">
        <x:v>未复核</x:v>
      </x:c>
      <x:c r="K11" s="20" t="str">
        <x:v>未知</x:v>
      </x:c>
      <x:c r="L11" s="20" t="str"/>
    </x:row>
    <x:row r="12" ht="15" hidden="0" customHeight="1">
      <x:c r="A12" s="20" t="str">
        <x:v>顶层</x:v>
      </x:c>
      <x:c r="B12" s="20" t="str">
        <x:v>顶层高度</x:v>
      </x:c>
      <x:c r="C12" s="20" t="str">
        <x:v>是</x:v>
      </x:c>
      <x:c r="D12" s="20" t="str">
        <x:v>mm</x:v>
      </x:c>
      <x:c r="E12" s="20" t="str"/>
      <x:c r="F12" s="20" t="str"/>
      <x:c r="G12" s="20" t="str"/>
      <x:c r="H12" s="20" t="str">
        <x:v>LiDAR / 人工</x:v>
      </x:c>
      <x:c r="I12" s="20" t="str">
        <x:v>中</x:v>
      </x:c>
      <x:c r="J12" s="20" t="str">
        <x:v>未复核</x:v>
      </x:c>
      <x:c r="K12" s="20" t="str">
        <x:v>未知</x:v>
      </x:c>
      <x:c r="L12" s="20" t="str"/>
    </x:row>
    <x:row r="13" ht="15" hidden="0" customHeight="1">
      <x:c r="A13" s="20" t="str">
        <x:v>顶层</x:v>
      </x:c>
      <x:c r="B13" s="20" t="str">
        <x:v>顶层净空</x:v>
      </x:c>
      <x:c r="C13" s="20" t="str">
        <x:v>是</x:v>
      </x:c>
      <x:c r="D13" s="20" t="str">
        <x:v>mm</x:v>
      </x:c>
      <x:c r="E13" s="20" t="str"/>
      <x:c r="F13" s="20" t="str"/>
      <x:c r="G13" s="20" t="str"/>
      <x:c r="H13" s="20" t="str">
        <x:v>LiDAR / 人工</x:v>
      </x:c>
      <x:c r="I13" s="20" t="str">
        <x:v>中</x:v>
      </x:c>
      <x:c r="J13" s="20" t="str">
        <x:v>未复核</x:v>
      </x:c>
      <x:c r="K13" s="20" t="str">
        <x:v>未知</x:v>
      </x:c>
      <x:c r="L13" s="20" t="str"/>
    </x:row>
    <x:row r="14" ht="15" hidden="0" customHeight="1">
      <x:c r="A14" s="20" t="str">
        <x:v>顶层</x:v>
      </x:c>
      <x:c r="B14" s="20" t="str">
        <x:v>梁 / 吊顶障碍</x:v>
      </x:c>
      <x:c r="C14" s="20" t="str">
        <x:v>否</x:v>
      </x:c>
      <x:c r="D14" s="20" t="str">
        <x:v>文本</x:v>
      </x:c>
      <x:c r="E14" s="20" t="str"/>
      <x:c r="F14" s="20" t="str"/>
      <x:c r="G14" s="20" t="str"/>
      <x:c r="H14" s="20" t="str">
        <x:v>照片 / 人工</x:v>
      </x:c>
      <x:c r="I14" s="20" t="str">
        <x:v>中</x:v>
      </x:c>
      <x:c r="J14" s="20" t="str">
        <x:v>未复核</x:v>
      </x:c>
      <x:c r="K14" s="20" t="str">
        <x:v>未知</x:v>
      </x:c>
      <x:c r="L14" s="20" t="str"/>
    </x:row>
    <x:row r="15" ht="15" hidden="0" customHeight="1">
      <x:c r="A15" s="20" t="str">
        <x:v>门洞</x:v>
      </x:c>
      <x:c r="B15" s="20" t="str">
        <x:v>常规门洞宽度</x:v>
      </x:c>
      <x:c r="C15" s="20" t="str">
        <x:v>是</x:v>
      </x:c>
      <x:c r="D15" s="20" t="str">
        <x:v>mm</x:v>
      </x:c>
      <x:c r="E15" s="20" t="str"/>
      <x:c r="F15" s="20" t="str"/>
      <x:c r="G15" s="20" t="str"/>
      <x:c r="H15" s="20" t="str">
        <x:v>LiDAR / 人工</x:v>
      </x:c>
      <x:c r="I15" s="20" t="str">
        <x:v>中</x:v>
      </x:c>
      <x:c r="J15" s="20" t="str">
        <x:v>未复核</x:v>
      </x:c>
      <x:c r="K15" s="20" t="str">
        <x:v>未知</x:v>
      </x:c>
      <x:c r="L15" s="20" t="str"/>
    </x:row>
    <x:row r="16" ht="15" hidden="0" customHeight="1">
      <x:c r="A16" s="20" t="str">
        <x:v>门洞</x:v>
      </x:c>
      <x:c r="B16" s="20" t="str">
        <x:v>常规门洞高度</x:v>
      </x:c>
      <x:c r="C16" s="20" t="str">
        <x:v>是</x:v>
      </x:c>
      <x:c r="D16" s="20" t="str">
        <x:v>mm</x:v>
      </x:c>
      <x:c r="E16" s="20" t="str"/>
      <x:c r="F16" s="20" t="str"/>
      <x:c r="G16" s="20" t="str"/>
      <x:c r="H16" s="20" t="str">
        <x:v>LiDAR / 人工</x:v>
      </x:c>
      <x:c r="I16" s="20" t="str">
        <x:v>中</x:v>
      </x:c>
      <x:c r="J16" s="20" t="str">
        <x:v>未复核</x:v>
      </x:c>
      <x:c r="K16" s="20" t="str">
        <x:v>未知</x:v>
      </x:c>
      <x:c r="L16" s="20" t="str"/>
    </x:row>
    <x:row r="17" ht="15" hidden="0" customHeight="1">
      <x:c r="A17" s="20" t="str">
        <x:v>门洞</x:v>
      </x:c>
      <x:c r="B17" s="20" t="str">
        <x:v>门洞中心线偏移</x:v>
      </x:c>
      <x:c r="C17" s="20" t="str">
        <x:v>是</x:v>
      </x:c>
      <x:c r="D17" s="20" t="str">
        <x:v>mm</x:v>
      </x:c>
      <x:c r="E17" s="20" t="str"/>
      <x:c r="F17" s="20" t="str"/>
      <x:c r="G17" s="20" t="str"/>
      <x:c r="H17" s="20" t="str">
        <x:v>LiDAR / 人工</x:v>
      </x:c>
      <x:c r="I17" s="20" t="str">
        <x:v>低</x:v>
      </x:c>
      <x:c r="J17" s="20" t="str">
        <x:v>未复核</x:v>
      </x:c>
      <x:c r="K17" s="20" t="str">
        <x:v>未知</x:v>
      </x:c>
      <x:c r="L17" s="20" t="str"/>
    </x:row>
    <x:row r="18" ht="15" hidden="0" customHeight="1">
      <x:c r="A18" s="20" t="str">
        <x:v>电气</x:v>
      </x:c>
      <x:c r="B18" s="20" t="str">
        <x:v>电源 / 控制箱空间</x:v>
      </x:c>
      <x:c r="C18" s="20" t="str">
        <x:v>否</x:v>
      </x:c>
      <x:c r="D18" s="20" t="str">
        <x:v>文本</x:v>
      </x:c>
      <x:c r="E18" s="20" t="str"/>
      <x:c r="F18" s="20" t="str"/>
      <x:c r="G18" s="20" t="str"/>
      <x:c r="H18" s="20" t="str">
        <x:v>人工备注</x:v>
      </x:c>
      <x:c r="I18" s="20" t="str">
        <x:v>低</x:v>
      </x:c>
      <x:c r="J18" s="20" t="str">
        <x:v>未复核</x:v>
      </x:c>
      <x:c r="K18" s="20" t="str">
        <x:v>未知</x:v>
      </x:c>
      <x:c r="L18" s="20" t="str"/>
    </x:row>
    <x:row r="19" ht="15" hidden="0" customHeight="1">
      <x:c r="A19" s="20" t="str">
        <x:v>通道</x:v>
      </x:c>
      <x:c r="B19" s="20" t="str">
        <x:v>设备搬运通道</x:v>
      </x:c>
      <x:c r="C19" s="20" t="str">
        <x:v>否</x:v>
      </x:c>
      <x:c r="D19" s="20" t="str">
        <x:v>文本</x:v>
      </x:c>
      <x:c r="E19" s="20" t="str"/>
      <x:c r="F19" s="20" t="str"/>
      <x:c r="G19" s="20" t="str"/>
      <x:c r="H19" s="20" t="str">
        <x:v>人工备注</x:v>
      </x:c>
      <x:c r="I19" s="20" t="str">
        <x:v>低</x:v>
      </x:c>
      <x:c r="J19" s="20" t="str">
        <x:v>未复核</x:v>
      </x:c>
      <x:c r="K19" s="20" t="str">
        <x:v>未知</x:v>
      </x:c>
      <x:c r="L19" s="20" t="str"/>
    </x:row>
    <x:row r="20" ht="15" hidden="0" customHeight="1">
      <x:c r="A20" s="20" t="str">
        <x:v>结构</x:v>
      </x:c>
      <x:c r="B20" s="20" t="str">
        <x:v>是否可能需要结构改造</x:v>
      </x:c>
      <x:c r="C20" s="20" t="str">
        <x:v>是</x:v>
      </x:c>
      <x:c r="D20" s="20" t="str">
        <x:v>是/否</x:v>
      </x:c>
      <x:c r="E20" s="20" t="str"/>
      <x:c r="F20" s="20" t="str"/>
      <x:c r="G20" s="20" t="str"/>
      <x:c r="H20" s="20" t="str">
        <x:v>人工判断</x:v>
      </x:c>
      <x:c r="I20" s="20" t="str">
        <x:v>低</x:v>
      </x:c>
      <x:c r="J20" s="20" t="str">
        <x:v>未复核</x:v>
      </x:c>
      <x:c r="K20" s="20" t="str">
        <x:v>未知</x:v>
      </x:c>
      <x:c r="L20" s="20" t="str"/>
    </x:row>
    <x:row r="21" ht="15" hidden="0" customHeight="1">
      <x:c r="A21" s="20" t="str">
        <x:v>综合</x:v>
      </x:c>
      <x:c r="B21" s="20" t="str">
        <x:v>是否需要二次复尺</x:v>
      </x:c>
      <x:c r="C21" s="20" t="str">
        <x:v>否</x:v>
      </x:c>
      <x:c r="D21" s="20" t="str">
        <x:v>文本</x:v>
      </x:c>
      <x:c r="E21" s="20" t="str"/>
      <x:c r="F21" s="20" t="str"/>
      <x:c r="G21" s="20" t="str"/>
      <x:c r="H21" s="20" t="str">
        <x:v>人工备注</x:v>
      </x:c>
      <x:c r="I21" s="20" t="str">
        <x:v>低</x:v>
      </x:c>
      <x:c r="J21" s="20" t="str">
        <x:v>未复核</x:v>
      </x:c>
      <x:c r="K21" s="20" t="str">
        <x:v>未知</x:v>
      </x:c>
      <x:c r="L21" s="2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.7799999713897705" hidden="0" customWidth="1"/>
    <x:col min="2" max="2" width="11.329999923706055" hidden="0" customWidth="1"/>
    <x:col min="3" max="3" width="11.329999923706055" hidden="0" customWidth="1"/>
    <x:col min="4" max="4" width="11.329999923706055" hidden="0" customWidth="1"/>
    <x:col min="5" max="5" width="13" hidden="0" customWidth="1"/>
    <x:col min="6" max="6" width="11.329999923706055" hidden="0" customWidth="1"/>
    <x:col min="7" max="7" width="5.329999923706055" hidden="0" customWidth="1"/>
    <x:col min="8" max="8" width="7" hidden="0" customWidth="1"/>
    <x:col min="9" max="9" width="3.7799999713897705" hidden="0" customWidth="1"/>
  </x:cols>
  <x:sheetData>
    <x:row r="1" ht="15" hidden="0" customHeight="1">
      <x:c r="A1" s="33" t="str">
        <x:v>楼层</x:v>
      </x:c>
      <x:c r="B1" s="33" t="str">
        <x:v>门洞宽度 (mm)</x:v>
      </x:c>
      <x:c r="C1" s="33" t="str">
        <x:v>门洞高度 (mm)</x:v>
      </x:c>
      <x:c r="D1" s="33" t="str">
        <x:v>地坎高度 (mm)</x:v>
      </x:c>
      <x:c r="E1" s="33" t="str">
        <x:v>中心线偏移 (mm)</x:v>
      </x:c>
      <x:c r="F1" s="33" t="str">
        <x:v>墙体厚度 (mm)</x:v>
      </x:c>
      <x:c r="G1" s="33" t="str">
        <x:v>障碍物</x:v>
      </x:c>
      <x:c r="H1" s="33" t="str">
        <x:v>最终状态</x:v>
      </x:c>
      <x:c r="I1" s="33" t="str">
        <x:v>备注</x:v>
      </x:c>
    </x:row>
    <x:row r="2" ht="15" hidden="0" customHeight="1">
      <x:c r="A2" s="20" t="str">
        <x:v>1F</x:v>
      </x:c>
      <x:c r="B2" s="20" t="str"/>
      <x:c r="C2" s="20" t="str"/>
      <x:c r="D2" s="20" t="str"/>
      <x:c r="E2" s="20" t="str"/>
      <x:c r="F2" s="20" t="str"/>
      <x:c r="G2" s="20" t="str"/>
      <x:c r="H2" s="20" t="str">
        <x:v>未复核</x:v>
      </x:c>
      <x:c r="I2" s="20" t="str"/>
    </x:row>
    <x:row r="3" ht="15" hidden="0" customHeight="1">
      <x:c r="A3" s="20" t="str">
        <x:v>2F</x:v>
      </x:c>
      <x:c r="B3" s="20" t="str"/>
      <x:c r="C3" s="20" t="str"/>
      <x:c r="D3" s="20" t="str"/>
      <x:c r="E3" s="20" t="str"/>
      <x:c r="F3" s="20" t="str"/>
      <x:c r="G3" s="20" t="str"/>
      <x:c r="H3" s="20" t="str">
        <x:v>未复核</x:v>
      </x:c>
      <x:c r="I3" s="20" t="str"/>
    </x:row>
    <x:row r="4" ht="15" hidden="0" customHeight="1">
      <x:c r="A4" s="20" t="str">
        <x:v>3F</x:v>
      </x:c>
      <x:c r="B4" s="20" t="str"/>
      <x:c r="C4" s="20" t="str"/>
      <x:c r="D4" s="20" t="str"/>
      <x:c r="E4" s="20" t="str"/>
      <x:c r="F4" s="20" t="str"/>
      <x:c r="G4" s="20" t="str"/>
      <x:c r="H4" s="20" t="str">
        <x:v>未复核</x:v>
      </x:c>
      <x:c r="I4" s="20" t="str"/>
    </x:row>
    <x:row r="5" ht="15" hidden="0" customHeight="1">
      <x:c r="A5" s="20" t="str">
        <x:v>4F</x:v>
      </x:c>
      <x:c r="B5" s="20" t="str"/>
      <x:c r="C5" s="20" t="str"/>
      <x:c r="D5" s="20" t="str"/>
      <x:c r="E5" s="20" t="str"/>
      <x:c r="F5" s="20" t="str"/>
      <x:c r="G5" s="20" t="str"/>
      <x:c r="H5" s="20" t="str">
        <x:v>未复核</x:v>
      </x:c>
      <x:c r="I5" s="20" t="str"/>
    </x:row>
    <x:row r="6" ht="15" hidden="0" customHeight="1">
      <x:c r="A6" s="20" t="str">
        <x:v>5F</x:v>
      </x:c>
      <x:c r="B6" s="20" t="str"/>
      <x:c r="C6" s="20" t="str"/>
      <x:c r="D6" s="20" t="str"/>
      <x:c r="E6" s="20" t="str"/>
      <x:c r="F6" s="20" t="str"/>
      <x:c r="G6" s="20" t="str"/>
      <x:c r="H6" s="20" t="str">
        <x:v>未复核</x:v>
      </x:c>
      <x:c r="I6" s="20" t="str"/>
    </x:row>
    <x:row r="7" ht="15" hidden="0" customHeight="1">
      <x:c r="A7" s="20" t="str">
        <x:v>其他</x:v>
      </x:c>
      <x:c r="B7" s="20" t="str"/>
      <x:c r="C7" s="20" t="str"/>
      <x:c r="D7" s="20" t="str"/>
      <x:c r="E7" s="20" t="str"/>
      <x:c r="F7" s="20" t="str"/>
      <x:c r="G7" s="20" t="str"/>
      <x:c r="H7" s="20" t="str">
        <x:v>未复核</x:v>
      </x:c>
      <x:c r="I7" s="2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.780000686645508" hidden="0" customWidth="1"/>
    <x:col min="3" max="3" width="3.7799999713897705" hidden="0" customWidth="1"/>
    <x:col min="4" max="4" width="7" hidden="0" customWidth="1"/>
    <x:col min="5" max="5" width="3.7799999713897705" hidden="0" customWidth="1"/>
    <x:col min="6" max="6" width="7" hidden="0" customWidth="1"/>
    <x:col min="7" max="7" width="8.4399995803833" hidden="0" customWidth="1"/>
    <x:col min="8" max="8" width="8.670000076293945" hidden="0" customWidth="1"/>
  </x:cols>
  <x:sheetData>
    <x:row r="1" ht="15" hidden="0" customHeight="1">
      <x:c r="A1" s="33" t="str">
        <x:v>风险类别</x:v>
      </x:c>
      <x:c r="B1" s="33" t="str">
        <x:v>风险项</x:v>
      </x:c>
      <x:c r="C1" s="33" t="str">
        <x:v>状态</x:v>
      </x:c>
      <x:c r="D1" s="33" t="str">
        <x:v>严重程度</x:v>
      </x:c>
      <x:c r="E1" s="33" t="str">
        <x:v>依据</x:v>
      </x:c>
      <x:c r="F1" s="33" t="str">
        <x:v>建议处理</x:v>
      </x:c>
      <x:c r="G1" s="33" t="str">
        <x:v>责任角色</x:v>
      </x:c>
      <x:c r="H1" s="33" t="str">
        <x:v>是否需跟进</x:v>
      </x:c>
    </x:row>
    <x:row r="2" ht="15" hidden="0" customHeight="1">
      <x:c r="A2" s="20" t="str">
        <x:v>井道</x:v>
      </x:c>
      <x:c r="B2" s="20" t="str">
        <x:v>宽度不足</x:v>
      </x:c>
      <x:c r="C2" s="20" t="str">
        <x:v>未知</x:v>
      </x:c>
      <x:c r="D2" s="20" t="str">
        <x:v>中</x:v>
      </x:c>
      <x:c r="E2" s="20" t="str"/>
      <x:c r="F2" s="20" t="str"/>
      <x:c r="G2" s="20" t="str">
        <x:v>设计</x:v>
      </x:c>
      <x:c r="H2" s="20" t="str">
        <x:v>是</x:v>
      </x:c>
    </x:row>
    <x:row r="3" ht="15" hidden="0" customHeight="1">
      <x:c r="A3" s="20" t="str">
        <x:v>井道</x:v>
      </x:c>
      <x:c r="B3" s="20" t="str">
        <x:v>深度不足</x:v>
      </x:c>
      <x:c r="C3" s="20" t="str">
        <x:v>未知</x:v>
      </x:c>
      <x:c r="D3" s="20" t="str">
        <x:v>中</x:v>
      </x:c>
      <x:c r="E3" s="20" t="str"/>
      <x:c r="F3" s="20" t="str"/>
      <x:c r="G3" s="20" t="str">
        <x:v>设计</x:v>
      </x:c>
      <x:c r="H3" s="20" t="str">
        <x:v>是</x:v>
      </x:c>
    </x:row>
    <x:row r="4" ht="15" hidden="0" customHeight="1">
      <x:c r="A4" s="20" t="str">
        <x:v>底坑</x:v>
      </x:c>
      <x:c r="B4" s="20" t="str">
        <x:v>底坑深度不足</x:v>
      </x:c>
      <x:c r="C4" s="20" t="str">
        <x:v>未知</x:v>
      </x:c>
      <x:c r="D4" s="20" t="str">
        <x:v>高</x:v>
      </x:c>
      <x:c r="E4" s="20" t="str"/>
      <x:c r="F4" s="20" t="str"/>
      <x:c r="G4" s="20" t="str">
        <x:v>设计 / 安装</x:v>
      </x:c>
      <x:c r="H4" s="20" t="str">
        <x:v>是</x:v>
      </x:c>
    </x:row>
    <x:row r="5" ht="15" hidden="0" customHeight="1">
      <x:c r="A5" s="20" t="str">
        <x:v>顶层</x:v>
      </x:c>
      <x:c r="B5" s="20" t="str">
        <x:v>顶层净空不足</x:v>
      </x:c>
      <x:c r="C5" s="20" t="str">
        <x:v>未知</x:v>
      </x:c>
      <x:c r="D5" s="20" t="str">
        <x:v>高</x:v>
      </x:c>
      <x:c r="E5" s="20" t="str"/>
      <x:c r="F5" s="20" t="str"/>
      <x:c r="G5" s="20" t="str">
        <x:v>设计 / 安装</x:v>
      </x:c>
      <x:c r="H5" s="20" t="str">
        <x:v>是</x:v>
      </x:c>
    </x:row>
    <x:row r="6" ht="15" hidden="0" customHeight="1">
      <x:c r="A6" s="20" t="str">
        <x:v>井道</x:v>
      </x:c>
      <x:c r="B6" s="20" t="str">
        <x:v>井道垂直度异常</x:v>
      </x:c>
      <x:c r="C6" s="20" t="str">
        <x:v>未知</x:v>
      </x:c>
      <x:c r="D6" s="20" t="str">
        <x:v>中</x:v>
      </x:c>
      <x:c r="E6" s="20" t="str"/>
      <x:c r="F6" s="20" t="str"/>
      <x:c r="G6" s="20" t="str">
        <x:v>勘测 / 设计</x:v>
      </x:c>
      <x:c r="H6" s="20" t="str">
        <x:v>是</x:v>
      </x:c>
    </x:row>
    <x:row r="7" ht="15" hidden="0" customHeight="1">
      <x:c r="A7" s="20" t="str">
        <x:v>结构</x:v>
      </x:c>
      <x:c r="B7" s="20" t="str">
        <x:v>梁或管线障碍</x:v>
      </x:c>
      <x:c r="C7" s="20" t="str">
        <x:v>未知</x:v>
      </x:c>
      <x:c r="D7" s="20" t="str">
        <x:v>中</x:v>
      </x:c>
      <x:c r="E7" s="20" t="str"/>
      <x:c r="F7" s="20" t="str"/>
      <x:c r="G7" s="20" t="str">
        <x:v>安装</x:v>
      </x:c>
      <x:c r="H7" s="20" t="str">
        <x:v>是</x:v>
      </x:c>
    </x:row>
    <x:row r="8" ht="15" hidden="0" customHeight="1">
      <x:c r="A8" s="20" t="str">
        <x:v>门洞</x:v>
      </x:c>
      <x:c r="B8" s="20" t="str">
        <x:v>门洞位置或尺寸不一致</x:v>
      </x:c>
      <x:c r="C8" s="20" t="str">
        <x:v>未知</x:v>
      </x:c>
      <x:c r="D8" s="20" t="str">
        <x:v>中</x:v>
      </x:c>
      <x:c r="E8" s="20" t="str"/>
      <x:c r="F8" s="20" t="str"/>
      <x:c r="G8" s="20" t="str">
        <x:v>设计</x:v>
      </x:c>
      <x:c r="H8" s="20" t="str">
        <x:v>是</x:v>
      </x:c>
    </x:row>
    <x:row r="9" ht="15" hidden="0" customHeight="1">
      <x:c r="A9" s="20" t="str">
        <x:v>结构</x:v>
      </x:c>
      <x:c r="B9" s="20" t="str">
        <x:v>可能需要结构改造</x:v>
      </x:c>
      <x:c r="C9" s="20" t="str">
        <x:v>未知</x:v>
      </x:c>
      <x:c r="D9" s="20" t="str">
        <x:v>高</x:v>
      </x:c>
      <x:c r="E9" s="20" t="str"/>
      <x:c r="F9" s="20" t="str"/>
      <x:c r="G9" s="20" t="str">
        <x:v>业主 / 土建</x:v>
      </x:c>
      <x:c r="H9" s="20" t="str">
        <x:v>是</x:v>
      </x:c>
    </x:row>
    <x:row r="10" ht="15" hidden="0" customHeight="1">
      <x:c r="A10" s="20" t="str">
        <x:v>底坑</x:v>
      </x:c>
      <x:c r="B10" s="20" t="str">
        <x:v>积水或排水风险</x:v>
      </x:c>
      <x:c r="C10" s="20" t="str">
        <x:v>未知</x:v>
      </x:c>
      <x:c r="D10" s="20" t="str">
        <x:v>中</x:v>
      </x:c>
      <x:c r="E10" s="20" t="str"/>
      <x:c r="F10" s="20" t="str"/>
      <x:c r="G10" s="20" t="str">
        <x:v>安装</x:v>
      </x:c>
      <x:c r="H10" s="20" t="str">
        <x:v>是</x:v>
      </x:c>
    </x:row>
    <x:row r="11" ht="15" hidden="0" customHeight="1">
      <x:c r="A11" s="20" t="str">
        <x:v>电气</x:v>
      </x:c>
      <x:c r="B11" s="20" t="str">
        <x:v>电源或控制箱空间问题</x:v>
      </x:c>
      <x:c r="C11" s="20" t="str">
        <x:v>未知</x:v>
      </x:c>
      <x:c r="D11" s="20" t="str">
        <x:v>低</x:v>
      </x:c>
      <x:c r="E11" s="20" t="str"/>
      <x:c r="F11" s="20" t="str"/>
      <x:c r="G11" s="20" t="str">
        <x:v>电气</x:v>
      </x:c>
      <x:c r="H11" s="20" t="str">
        <x:v>否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.7799999713897705" hidden="0" customWidth="1"/>
    <x:col min="3" max="3" width="7" hidden="0" customWidth="1"/>
    <x:col min="4" max="4" width="11.779999732971191" hidden="0" customWidth="1"/>
    <x:col min="5" max="5" width="8.5600004196167" hidden="0" customWidth="1"/>
    <x:col min="6" max="6" width="3.7799999713897705" hidden="0" customWidth="1"/>
  </x:cols>
  <x:sheetData>
    <x:row r="1" ht="15" hidden="0" customHeight="1">
      <x:c r="A1" s="33" t="str">
        <x:v>照片编号</x:v>
      </x:c>
      <x:c r="B1" s="33" t="str">
        <x:v>位置</x:v>
      </x:c>
      <x:c r="C1" s="33" t="str">
        <x:v>视角类型</x:v>
      </x:c>
      <x:c r="D1" s="33" t="str">
        <x:v>关联尺寸</x:v>
      </x:c>
      <x:c r="E1" s="33" t="str">
        <x:v>文件 / 链接</x:v>
      </x:c>
      <x:c r="F1" s="33" t="str">
        <x:v>备注</x:v>
      </x:c>
    </x:row>
    <x:row r="2" ht="15" hidden="0" customHeight="1">
      <x:c r="A2" s="20" t="str">
        <x:v>P001</x:v>
      </x:c>
      <x:c r="B2" s="20" t="str">
        <x:v>现场</x:v>
      </x:c>
      <x:c r="C2" s="20" t="str">
        <x:v>整体</x:v>
      </x:c>
      <x:c r="D2" s="20" t="str"/>
      <x:c r="E2" s="20" t="str"/>
      <x:c r="F2" s="20" t="str"/>
    </x:row>
    <x:row r="3" ht="15" hidden="0" customHeight="1">
      <x:c r="A3" s="20" t="str">
        <x:v>P002</x:v>
      </x:c>
      <x:c r="B3" s="20" t="str">
        <x:v>井道</x:v>
      </x:c>
      <x:c r="C3" s="20" t="str">
        <x:v>正面</x:v>
      </x:c>
      <x:c r="D3" s="20" t="str">
        <x:v>井道净宽 / 净深</x:v>
      </x:c>
      <x:c r="E3" s="20" t="str"/>
      <x:c r="F3" s="20" t="str"/>
    </x:row>
    <x:row r="4" ht="15" hidden="0" customHeight="1">
      <x:c r="A4" s="20" t="str">
        <x:v>P003</x:v>
      </x:c>
      <x:c r="B4" s="20" t="str">
        <x:v>底坑</x:v>
      </x:c>
      <x:c r="C4" s="20" t="str">
        <x:v>俯视</x:v>
      </x:c>
      <x:c r="D4" s="20" t="str">
        <x:v>底坑深度</x:v>
      </x:c>
      <x:c r="E4" s="20" t="str"/>
      <x:c r="F4" s="20" t="str"/>
    </x:row>
    <x:row r="5" ht="15" hidden="0" customHeight="1">
      <x:c r="A5" s="20" t="str">
        <x:v>P004</x:v>
      </x:c>
      <x:c r="B5" s="20" t="str">
        <x:v>顶层</x:v>
      </x:c>
      <x:c r="C5" s="20" t="str">
        <x:v>仰视</x:v>
      </x:c>
      <x:c r="D5" s="20" t="str">
        <x:v>顶层净空</x:v>
      </x:c>
      <x:c r="E5" s="20" t="str"/>
      <x:c r="F5" s="20" t="str"/>
    </x:row>
    <x:row r="6" ht="15" hidden="0" customHeight="1">
      <x:c r="A6" s="20" t="str">
        <x:v>P005</x:v>
      </x:c>
      <x:c r="B6" s="20" t="str">
        <x:v>1F</x:v>
      </x:c>
      <x:c r="C6" s="20" t="str">
        <x:v>门洞</x:v>
      </x:c>
      <x:c r="D6" s="20" t="str">
        <x:v>门洞宽度 / 高度</x:v>
      </x:c>
      <x:c r="E6" s="20" t="str"/>
      <x:c r="F6" s="20" t="str"/>
    </x:row>
    <x:row r="7" ht="15" hidden="0" customHeight="1">
      <x:c r="A7" s="20" t="str">
        <x:v>P006</x:v>
      </x:c>
      <x:c r="B7" s="20" t="str">
        <x:v>2F</x:v>
      </x:c>
      <x:c r="C7" s="20" t="str">
        <x:v>门洞</x:v>
      </x:c>
      <x:c r="D7" s="20" t="str">
        <x:v>门洞宽度 / 高度</x:v>
      </x:c>
      <x:c r="E7" s="20" t="str"/>
      <x:c r="F7" s="20" t="str"/>
    </x:row>
    <x:row r="8" ht="15" hidden="0" customHeight="1">
      <x:c r="A8" s="20" t="str">
        <x:v>P007</x:v>
      </x:c>
      <x:c r="B8" s="20" t="str">
        <x:v>3F</x:v>
      </x:c>
      <x:c r="C8" s="20" t="str">
        <x:v>门洞</x:v>
      </x:c>
      <x:c r="D8" s="20" t="str">
        <x:v>门洞宽度 / 高度</x:v>
      </x:c>
      <x:c r="E8" s="20" t="str"/>
      <x:c r="F8" s="20" t="str"/>
    </x:row>
    <x:row r="9" ht="15" hidden="0" customHeight="1">
      <x:c r="A9" s="20" t="str">
        <x:v>P008</x:v>
      </x:c>
      <x:c r="B9" s="20" t="str">
        <x:v>其他</x:v>
      </x:c>
      <x:c r="C9" s="20" t="str">
        <x:v>风险细节</x:v>
      </x:c>
      <x:c r="D9" s="20" t="str"/>
      <x:c r="E9" s="20" t="str"/>
      <x:c r="F9" s="20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3.329999923706055" hidden="0" customWidth="1"/>
    <x:col min="2" max="2" width="5.329999923706055" hidden="0" customWidth="1"/>
  </x:cols>
  <x:sheetData>
    <x:row r="1" ht="16.799999237060547" hidden="0" customHeight="1">
      <x:c r="A1" s="4" t="str">
        <x:v>别墅梯旧房改造勘测汇总</x:v>
      </x:c>
      <x:c r="B1" s="4" t="str"/>
      <x:c r="C1" s="4" t="str"/>
      <x:c r="D1" s="4" t="str"/>
    </x:row>
    <x:row r="2"/>
    <x:row r="3" ht="15" hidden="0" customHeight="1">
      <x:c r="A3" s="19" t="str">
        <x:v>总体可行性</x:v>
      </x:c>
      <x:c r="B3" s="20" t="str">
        <x:v>待复核</x:v>
      </x:c>
    </x:row>
    <x:row r="4" ht="15" hidden="0" customHeight="1">
      <x:c r="A4" s="19" t="str">
        <x:v>高风险数量</x:v>
      </x:c>
      <x:c r="B4" s="20" t="n">
        <x:f>COUNTIFS('风险清单'!C2:C11,"有风险",'风险清单'!D2:D11,"高")</x:f>
        <x:v>0</x:v>
      </x:c>
    </x:row>
    <x:row r="5" ht="15" hidden="0" customHeight="1">
      <x:c r="A5" s="19" t="str">
        <x:v>中风险数量</x:v>
      </x:c>
      <x:c r="B5" s="20" t="n">
        <x:f>COUNTIFS('风险清单'!C2:C11,"有风险",'风险清单'!D2:D11,"中")</x:f>
        <x:v>0</x:v>
      </x:c>
    </x:row>
    <x:row r="6" ht="15" hidden="0" customHeight="1">
      <x:c r="A6" s="19" t="str">
        <x:v>缺失的必填尺寸</x:v>
      </x:c>
      <x:c r="B6" s="20" t="n">
        <x:f>SUMPRODUCT(('关键尺寸'!C2:C21="是")*('关键尺寸'!G2:G21=""))</x:f>
        <x:v>12</x:v>
      </x:c>
    </x:row>
    <x:row r="7" ht="15" hidden="0" customHeight="1">
      <x:c r="A7" s="19" t="str">
        <x:v>待复核尺寸数量</x:v>
      </x:c>
      <x:c r="B7" s="20" t="n">
        <x:f>COUNTIF('关键尺寸'!J2:J21,"未复核")</x:f>
        <x:v>20</x:v>
      </x:c>
    </x:row>
    <x:row r="8" ht="15" hidden="0" customHeight="1">
      <x:c r="A8" s="19" t="str">
        <x:v>待复核门洞数量</x:v>
      </x:c>
      <x:c r="B8" s="20" t="n">
        <x:f>COUNTIF('层门洞口'!H2:H7,"未复核")</x:f>
        <x:v>6</x:v>
      </x:c>
    </x:row>
    <x:row r="9" ht="15" hidden="0" customHeight="1">
      <x:c r="A9" s="19" t="str">
        <x:v>建议下一步</x:v>
      </x:c>
      <x:c r="B9" s="20" t="str"/>
    </x:row>
    <x:row r="10"/>
    <x:row r="11"/>
    <x:row r="12"/>
  </x:sheetData>
  <x:mergeCells>
    <x:mergeCell ref="A1:D1"/>
  </x:mergeCells>
  <x:pageMargins left="0.7" right="0.7" top="0.75" bottom="0.75" header="0.3" footer="0.3"/>
</x:worksheet>
</file>