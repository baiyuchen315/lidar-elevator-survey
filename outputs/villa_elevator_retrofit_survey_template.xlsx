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5957f0154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Info" sheetId="1" r:id="Re2887db884f348de"/>
    <x:sheet xmlns:r="http://schemas.openxmlformats.org/officeDocument/2006/relationships" name="Key_Measurements" sheetId="2" r:id="R8b48eed87bf6429b"/>
    <x:sheet xmlns:r="http://schemas.openxmlformats.org/officeDocument/2006/relationships" name="Door_Openings" sheetId="3" r:id="R668a36c40e7a478e"/>
    <x:sheet xmlns:r="http://schemas.openxmlformats.org/officeDocument/2006/relationships" name="Risk_Checklist" sheetId="4" r:id="R0c9b68ed24bd4bce"/>
    <x:sheet xmlns:r="http://schemas.openxmlformats.org/officeDocument/2006/relationships" name="Photo_Index" sheetId="5" r:id="R17c7d8464513419f"/>
    <x:sheet xmlns:r="http://schemas.openxmlformats.org/officeDocument/2006/relationships" name="Report_Summary" sheetId="6" r:id="R59398dba1229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4"/>
      <x:color rgb="FF17324D"/>
      <x:name val="Carlito"/>
    </x:font>
    <x:font>
      <x:b/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1F7"/>
      </x:patternFill>
    </x:fill>
    <x:fill>
      <x:patternFill patternType="solid">
        <x:fgColor rgb="FFF2F6FA"/>
      </x:patternFill>
    </x:fill>
    <x:fill>
      <x:patternFill patternType="solid">
        <x:fgColor rgb="FF17324D"/>
      </x:patternFill>
    </x:fill>
  </x:fills>
  <x:borders count="13">
    <x:border/>
    <x:border>
      <x:bottom/>
    </x:border>
    <x:border>
      <x:top/>
      <x:bottom/>
    </x:border>
    <x:border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top/>
      <x:bottom/>
    </x:border>
    <x:border>
      <x:left/>
      <x:right/>
      <x:bottom/>
    </x:border>
    <x:border>
      <x:left/>
      <x:right/>
      <x:top/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3" borderId="2" xfId="0" applyNumberFormat="1" applyFont="1" applyFill="1" applyBorder="1"/>
    <x:xf numFmtId="0" fontId="0" fillId="0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3" xfId="0" applyNumberFormat="1" applyFont="1" applyFill="1" applyBorder="1"/>
    <x:xf numFmtId="0" fontId="4" fillId="3" borderId="4" xfId="0" applyNumberFormat="1" applyFont="1" applyFill="1" applyBorder="1"/>
    <x:xf numFmtId="0" fontId="0" fillId="0" borderId="5" xfId="0" applyNumberFormat="1" applyFont="1" applyFill="1" applyBorder="1"/>
    <x:xf numFmtId="0" fontId="4" fillId="3" borderId="6" xfId="0" applyNumberFormat="1" applyFont="1" applyFill="1" applyBorder="1"/>
    <x:xf numFmtId="0" fontId="0" fillId="0" borderId="7" xfId="0" applyNumberFormat="1" applyFont="1" applyFill="1" applyBorder="1"/>
    <x:xf numFmtId="0" fontId="4" fillId="3" borderId="8" xfId="0" applyNumberFormat="1" applyFont="1" applyFill="1" applyBorder="1"/>
    <x:xf numFmtId="0" fontId="0" fillId="0" borderId="9" xfId="0" applyNumberFormat="1" applyFont="1" applyFill="1" applyBorder="1"/>
    <x:xf numFmtId="0" fontId="4" fillId="3" borderId="10" xfId="0" applyNumberFormat="1" applyFont="1" applyFill="1" applyBorder="1"/>
    <x:xf numFmtId="0" fontId="0" fillId="0" borderId="1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6" fillId="4" borderId="11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12" xfId="0" applyNumberFormat="1" applyFont="1" applyFill="1" applyBorder="1"/>
    <x:xf numFmtId="0" fontId="6" fillId="4" borderId="6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/>
    </x:xf>
    <x:xf numFmtId="0" fontId="6" fillId="4" borderId="7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28efc32b84a4b" /><Relationship Type="http://schemas.openxmlformats.org/officeDocument/2006/relationships/theme" Target="/xl/theme/theme1.xml" Id="Rcf7f42c0ad22400c" /><Relationship Type="http://schemas.openxmlformats.org/officeDocument/2006/relationships/sharedStrings" Target="/xl/sharedStrings.xml" Id="R9328f55540184c54" /><Relationship Type="http://schemas.openxmlformats.org/officeDocument/2006/relationships/worksheet" Target="/xl/worksheets/sheet1.xml" Id="Re2887db884f348de" /><Relationship Type="http://schemas.openxmlformats.org/officeDocument/2006/relationships/worksheet" Target="/xl/worksheets/sheet2.xml" Id="R8b48eed87bf6429b" /><Relationship Type="http://schemas.openxmlformats.org/officeDocument/2006/relationships/worksheet" Target="/xl/worksheets/sheet3.xml" Id="R668a36c40e7a478e" /><Relationship Type="http://schemas.openxmlformats.org/officeDocument/2006/relationships/worksheet" Target="/xl/worksheets/sheet4.xml" Id="R0c9b68ed24bd4bce" /><Relationship Type="http://schemas.openxmlformats.org/officeDocument/2006/relationships/worksheet" Target="/xl/worksheets/sheet5.xml" Id="R17c7d8464513419f" /><Relationship Type="http://schemas.openxmlformats.org/officeDocument/2006/relationships/worksheet" Target="/xl/worksheets/sheet6.xml" Id="R59398dba122943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670000076293945" hidden="0" customWidth="1"/>
    <x:col min="2" max="2" width="18.110000610351562" hidden="0" customWidth="1"/>
  </x:cols>
  <x:sheetData>
    <x:row r="1" ht="16.799999237060547" hidden="0" customHeight="1">
      <x:c r="A1" s="4" t="str">
        <x:v>Villa Elevator Retrofit Survey</x:v>
      </x:c>
      <x:c r="B1" s="4" t="str"/>
      <x:c r="C1" s="4" t="str"/>
      <x:c r="D1" s="4" t="str"/>
      <x:c r="E1" s="4" t="str"/>
      <x:c r="F1" s="4" t="str"/>
    </x:row>
    <x:row r="2"/>
    <x:row r="3" ht="15" hidden="0" customHeight="1">
      <x:c r="A3" s="19" t="str">
        <x:v>Project name</x:v>
      </x:c>
      <x:c r="B3" s="20" t="str"/>
    </x:row>
    <x:row r="4" ht="15" hidden="0" customHeight="1">
      <x:c r="A4" s="19" t="str">
        <x:v>Customer name</x:v>
      </x:c>
      <x:c r="B4" s="20" t="str"/>
    </x:row>
    <x:row r="5" ht="15" hidden="0" customHeight="1">
      <x:c r="A5" s="19" t="str">
        <x:v>Site address</x:v>
      </x:c>
      <x:c r="B5" s="20" t="str"/>
    </x:row>
    <x:row r="6" ht="15" hidden="0" customHeight="1">
      <x:c r="A6" s="19" t="str">
        <x:v>Building type</x:v>
      </x:c>
      <x:c r="B6" s="20" t="str">
        <x:v>Existing villa / old house</x:v>
      </x:c>
    </x:row>
    <x:row r="7" ht="15" hidden="0" customHeight="1">
      <x:c r="A7" s="19" t="str">
        <x:v>Elevator intention</x:v>
      </x:c>
      <x:c r="B7" s="20" t="str">
        <x:v>Villa elevator retrofit</x:v>
      </x:c>
    </x:row>
    <x:row r="8" ht="15" hidden="0" customHeight="1">
      <x:c r="A8" s="19" t="str">
        <x:v>Floors / stops</x:v>
      </x:c>
      <x:c r="B8" s="20" t="str"/>
    </x:row>
    <x:row r="9" ht="15" hidden="0" customHeight="1">
      <x:c r="A9" s="19" t="str">
        <x:v>Survey date</x:v>
      </x:c>
      <x:c r="B9" s="20" t="str"/>
    </x:row>
    <x:row r="10" ht="15" hidden="0" customHeight="1">
      <x:c r="A10" s="19" t="str">
        <x:v>Survey person</x:v>
      </x:c>
      <x:c r="B10" s="20" t="str"/>
    </x:row>
    <x:row r="11" ht="15" hidden="0" customHeight="1">
      <x:c r="A11" s="19" t="str">
        <x:v>Phone</x:v>
      </x:c>
      <x:c r="B11" s="20" t="str"/>
    </x:row>
    <x:row r="12" ht="15" hidden="0" customHeight="1">
      <x:c r="A12" s="19" t="str">
        <x:v>Report status</x:v>
      </x:c>
      <x:c r="B12" s="20" t="str">
        <x:v>Draft</x:v>
      </x:c>
    </x:row>
    <x:row r="13" ht="15" hidden="0" customHeight="1">
      <x:c r="A13" s="19" t="str">
        <x:v>Overall feasibility</x:v>
      </x:c>
      <x:c r="B13" s="20" t="str">
        <x:v>Pending review</x:v>
      </x:c>
    </x:row>
    <x:row r="14" ht="15" hidden="0" customHeight="1">
      <x:c r="A14" s="19" t="str">
        <x:v>Recommended next step</x:v>
      </x:c>
      <x:c r="B14" s="20" t="str"/>
    </x:row>
    <x:row r="15" ht="15" hidden="0" customHeight="1">
      <x:c r="A15" s="19" t="str">
        <x:v>Design reviewer</x:v>
      </x:c>
      <x:c r="B15" s="20" t="str"/>
    </x:row>
    <x:row r="16" ht="15" hidden="0" customHeight="1">
      <x:c r="A16" s="19" t="str">
        <x:v>Quotation reviewer</x:v>
      </x:c>
      <x:c r="B16" s="20" t="str"/>
    </x:row>
    <x:row r="17" ht="15" hidden="0" customHeight="1">
      <x:c r="A17" s="19" t="str">
        <x:v>Notes</x:v>
      </x:c>
      <x:c r="B17" s="20" t="str"/>
    </x:row>
    <x:row r="18" ht="15" hidden="0" customHeight="1">
      <x:c r="A18" s="19" t="str">
        <x:v>Version</x:v>
      </x:c>
      <x:c r="B18" s="20" t="str">
        <x:v>MVP template v0.1</x:v>
      </x:c>
    </x:row>
    <x:row r="19"/>
    <x:row r="20"/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21.559999465942383" hidden="0" customWidth="1"/>
    <x:col min="3" max="3" width="18" hidden="0" customWidth="1"/>
    <x:col min="4" max="4" width="5.670000076293945" hidden="0" customWidth="1"/>
    <x:col min="5" max="5" width="11.890000343322754" hidden="0" customWidth="1"/>
    <x:col min="6" max="6" width="10.779999732971191" hidden="0" customWidth="1"/>
    <x:col min="7" max="7" width="8.779999732971191" hidden="0" customWidth="1"/>
    <x:col min="8" max="8" width="13.109999656677246" hidden="0" customWidth="1"/>
    <x:col min="9" max="9" width="9.4399995803833" hidden="0" customWidth="1"/>
    <x:col min="10" max="10" width="15.890000343322754" hidden="0" customWidth="1"/>
    <x:col min="11" max="11" width="7.889999866485596" hidden="0" customWidth="1"/>
    <x:col min="12" max="12" width="5.110000133514404" hidden="0" customWidth="1"/>
  </x:cols>
  <x:sheetData>
    <x:row r="1" ht="15" hidden="0" customHeight="1">
      <x:c r="A1" s="33" t="str">
        <x:v>Category</x:v>
      </x:c>
      <x:c r="B1" s="33" t="str">
        <x:v>Measurement item</x:v>
      </x:c>
      <x:c r="C1" s="33" t="str">
        <x:v>Required for quotation</x:v>
      </x:c>
      <x:c r="D1" s="33" t="str">
        <x:v>Unit</x:v>
      </x:c>
      <x:c r="E1" s="33" t="str">
        <x:v>Scanned value</x:v>
      </x:c>
      <x:c r="F1" s="33" t="str">
        <x:v>Manual value</x:v>
      </x:c>
      <x:c r="G1" s="33" t="str">
        <x:v>Final value</x:v>
      </x:c>
      <x:c r="H1" s="33" t="str">
        <x:v>Source</x:v>
      </x:c>
      <x:c r="I1" s="33" t="str">
        <x:v>Confidence</x:v>
      </x:c>
      <x:c r="J1" s="33" t="str">
        <x:v>Confirmation status</x:v>
      </x:c>
      <x:c r="K1" s="33" t="str">
        <x:v>Risk level</x:v>
      </x:c>
      <x:c r="L1" s="33" t="str">
        <x:v>Notes</x:v>
      </x:c>
    </x:row>
    <x:row r="2" ht="15" hidden="0" customHeight="1">
      <x:c r="A2" s="20" t="str">
        <x:v>Shaft</x:v>
      </x:c>
      <x:c r="B2" s="20" t="str">
        <x:v>Shaft clear width</x:v>
      </x:c>
      <x:c r="C2" s="20" t="str">
        <x:v>Yes</x:v>
      </x:c>
      <x:c r="D2" s="20" t="str">
        <x:v>mm</x:v>
      </x:c>
      <x:c r="E2" s="20" t="str"/>
      <x:c r="F2" s="20" t="str"/>
      <x:c r="G2" s="20" t="str"/>
      <x:c r="H2" s="20" t="str">
        <x:v>LiDAR / manual</x:v>
      </x:c>
      <x:c r="I2" s="20" t="str">
        <x:v>Medium</x:v>
      </x:c>
      <x:c r="J2" s="20" t="str">
        <x:v>Unconfirmed</x:v>
      </x:c>
      <x:c r="K2" s="20" t="str">
        <x:v>Unknown</x:v>
      </x:c>
      <x:c r="L2" s="20" t="str"/>
    </x:row>
    <x:row r="3" ht="15" hidden="0" customHeight="1">
      <x:c r="A3" s="20" t="str">
        <x:v>Shaft</x:v>
      </x:c>
      <x:c r="B3" s="20" t="str">
        <x:v>Shaft clear depth</x:v>
      </x:c>
      <x:c r="C3" s="20" t="str">
        <x:v>Yes</x:v>
      </x:c>
      <x:c r="D3" s="20" t="str">
        <x:v>mm</x:v>
      </x:c>
      <x:c r="E3" s="20" t="str"/>
      <x:c r="F3" s="20" t="str"/>
      <x:c r="G3" s="20" t="str"/>
      <x:c r="H3" s="20" t="str">
        <x:v>LiDAR / manual</x:v>
      </x:c>
      <x:c r="I3" s="20" t="str">
        <x:v>Medium</x:v>
      </x:c>
      <x:c r="J3" s="20" t="str">
        <x:v>Unconfirmed</x:v>
      </x:c>
      <x:c r="K3" s="20" t="str">
        <x:v>Unknown</x:v>
      </x:c>
      <x:c r="L3" s="20" t="str"/>
    </x:row>
    <x:row r="4" ht="15" hidden="0" customHeight="1">
      <x:c r="A4" s="20" t="str">
        <x:v>Shaft</x:v>
      </x:c>
      <x:c r="B4" s="20" t="str">
        <x:v>Shaft verticality deviation</x:v>
      </x:c>
      <x:c r="C4" s="20" t="str">
        <x:v>Yes</x:v>
      </x:c>
      <x:c r="D4" s="20" t="str">
        <x:v>mm</x:v>
      </x:c>
      <x:c r="E4" s="20" t="str"/>
      <x:c r="F4" s="20" t="str"/>
      <x:c r="G4" s="20" t="str"/>
      <x:c r="H4" s="20" t="str">
        <x:v>LiDAR estimate</x:v>
      </x:c>
      <x:c r="I4" s="20" t="str">
        <x:v>Low</x:v>
      </x:c>
      <x:c r="J4" s="20" t="str">
        <x:v>Unconfirmed</x:v>
      </x:c>
      <x:c r="K4" s="20" t="str">
        <x:v>Unknown</x:v>
      </x:c>
      <x:c r="L4" s="20" t="str"/>
    </x:row>
    <x:row r="5" ht="15" hidden="0" customHeight="1">
      <x:c r="A5" s="20" t="str">
        <x:v>Shaft</x:v>
      </x:c>
      <x:c r="B5" s="20" t="str">
        <x:v>Left wall obstruction</x:v>
      </x:c>
      <x:c r="C5" s="20" t="str">
        <x:v>No</x:v>
      </x:c>
      <x:c r="D5" s="20" t="str">
        <x:v>text</x:v>
      </x:c>
      <x:c r="E5" s="20" t="str"/>
      <x:c r="F5" s="20" t="str"/>
      <x:c r="G5" s="20" t="str"/>
      <x:c r="H5" s="20" t="str">
        <x:v>Photo / manual</x:v>
      </x:c>
      <x:c r="I5" s="20" t="str">
        <x:v>Medium</x:v>
      </x:c>
      <x:c r="J5" s="20" t="str">
        <x:v>Unconfirmed</x:v>
      </x:c>
      <x:c r="K5" s="20" t="str">
        <x:v>Unknown</x:v>
      </x:c>
      <x:c r="L5" s="20" t="str"/>
    </x:row>
    <x:row r="6" ht="15" hidden="0" customHeight="1">
      <x:c r="A6" s="20" t="str">
        <x:v>Shaft</x:v>
      </x:c>
      <x:c r="B6" s="20" t="str">
        <x:v>Right wall obstruction</x:v>
      </x:c>
      <x:c r="C6" s="20" t="str">
        <x:v>No</x:v>
      </x:c>
      <x:c r="D6" s="20" t="str">
        <x:v>text</x:v>
      </x:c>
      <x:c r="E6" s="20" t="str"/>
      <x:c r="F6" s="20" t="str"/>
      <x:c r="G6" s="20" t="str"/>
      <x:c r="H6" s="20" t="str">
        <x:v>Photo / manual</x:v>
      </x:c>
      <x:c r="I6" s="20" t="str">
        <x:v>Medium</x:v>
      </x:c>
      <x:c r="J6" s="20" t="str">
        <x:v>Unconfirmed</x:v>
      </x:c>
      <x:c r="K6" s="20" t="str">
        <x:v>Unknown</x:v>
      </x:c>
      <x:c r="L6" s="20" t="str"/>
    </x:row>
    <x:row r="7" ht="15" hidden="0" customHeight="1">
      <x:c r="A7" s="20" t="str">
        <x:v>Shaft</x:v>
      </x:c>
      <x:c r="B7" s="20" t="str">
        <x:v>Rear wall obstruction</x:v>
      </x:c>
      <x:c r="C7" s="20" t="str">
        <x:v>No</x:v>
      </x:c>
      <x:c r="D7" s="20" t="str">
        <x:v>text</x:v>
      </x:c>
      <x:c r="E7" s="20" t="str"/>
      <x:c r="F7" s="20" t="str"/>
      <x:c r="G7" s="20" t="str"/>
      <x:c r="H7" s="20" t="str">
        <x:v>Photo / manual</x:v>
      </x:c>
      <x:c r="I7" s="20" t="str">
        <x:v>Medium</x:v>
      </x:c>
      <x:c r="J7" s="20" t="str">
        <x:v>Unconfirmed</x:v>
      </x:c>
      <x:c r="K7" s="20" t="str">
        <x:v>Unknown</x:v>
      </x:c>
      <x:c r="L7" s="20" t="str"/>
    </x:row>
    <x:row r="8" ht="15" hidden="0" customHeight="1">
      <x:c r="A8" s="20" t="str">
        <x:v>Pit</x:v>
      </x:c>
      <x:c r="B8" s="20" t="str">
        <x:v>Pit depth</x:v>
      </x:c>
      <x:c r="C8" s="20" t="str">
        <x:v>Yes</x:v>
      </x:c>
      <x:c r="D8" s="20" t="str">
        <x:v>mm</x:v>
      </x:c>
      <x:c r="E8" s="20" t="str"/>
      <x:c r="F8" s="20" t="str"/>
      <x:c r="G8" s="20" t="str"/>
      <x:c r="H8" s="20" t="str">
        <x:v>LiDAR / manual</x:v>
      </x:c>
      <x:c r="I8" s="20" t="str">
        <x:v>Medium</x:v>
      </x:c>
      <x:c r="J8" s="20" t="str">
        <x:v>Unconfirmed</x:v>
      </x:c>
      <x:c r="K8" s="20" t="str">
        <x:v>Unknown</x:v>
      </x:c>
      <x:c r="L8" s="20" t="str"/>
    </x:row>
    <x:row r="9" ht="15" hidden="0" customHeight="1">
      <x:c r="A9" s="20" t="str">
        <x:v>Pit</x:v>
      </x:c>
      <x:c r="B9" s="20" t="str">
        <x:v>Pit clear width</x:v>
      </x:c>
      <x:c r="C9" s="20" t="str">
        <x:v>Yes</x:v>
      </x:c>
      <x:c r="D9" s="20" t="str">
        <x:v>mm</x:v>
      </x:c>
      <x:c r="E9" s="20" t="str"/>
      <x:c r="F9" s="20" t="str"/>
      <x:c r="G9" s="20" t="str"/>
      <x:c r="H9" s="20" t="str">
        <x:v>LiDAR / manual</x:v>
      </x:c>
      <x:c r="I9" s="20" t="str">
        <x:v>Medium</x:v>
      </x:c>
      <x:c r="J9" s="20" t="str">
        <x:v>Unconfirmed</x:v>
      </x:c>
      <x:c r="K9" s="20" t="str">
        <x:v>Unknown</x:v>
      </x:c>
      <x:c r="L9" s="20" t="str"/>
    </x:row>
    <x:row r="10" ht="15" hidden="0" customHeight="1">
      <x:c r="A10" s="20" t="str">
        <x:v>Pit</x:v>
      </x:c>
      <x:c r="B10" s="20" t="str">
        <x:v>Pit clear depth</x:v>
      </x:c>
      <x:c r="C10" s="20" t="str">
        <x:v>Yes</x:v>
      </x:c>
      <x:c r="D10" s="20" t="str">
        <x:v>mm</x:v>
      </x:c>
      <x:c r="E10" s="20" t="str"/>
      <x:c r="F10" s="20" t="str"/>
      <x:c r="G10" s="20" t="str"/>
      <x:c r="H10" s="20" t="str">
        <x:v>LiDAR / manual</x:v>
      </x:c>
      <x:c r="I10" s="20" t="str">
        <x:v>Medium</x:v>
      </x:c>
      <x:c r="J10" s="20" t="str">
        <x:v>Unconfirmed</x:v>
      </x:c>
      <x:c r="K10" s="20" t="str">
        <x:v>Unknown</x:v>
      </x:c>
      <x:c r="L10" s="20" t="str"/>
    </x:row>
    <x:row r="11" ht="15" hidden="0" customHeight="1">
      <x:c r="A11" s="20" t="str">
        <x:v>Pit</x:v>
      </x:c>
      <x:c r="B11" s="20" t="str">
        <x:v>Drainage / water risk</x:v>
      </x:c>
      <x:c r="C11" s="20" t="str">
        <x:v>No</x:v>
      </x:c>
      <x:c r="D11" s="20" t="str">
        <x:v>text</x:v>
      </x:c>
      <x:c r="E11" s="20" t="str"/>
      <x:c r="F11" s="20" t="str"/>
      <x:c r="G11" s="20" t="str"/>
      <x:c r="H11" s="20" t="str">
        <x:v>Photo / manual</x:v>
      </x:c>
      <x:c r="I11" s="20" t="str">
        <x:v>Medium</x:v>
      </x:c>
      <x:c r="J11" s="20" t="str">
        <x:v>Unconfirmed</x:v>
      </x:c>
      <x:c r="K11" s="20" t="str">
        <x:v>Unknown</x:v>
      </x:c>
      <x:c r="L11" s="20" t="str"/>
    </x:row>
    <x:row r="12" ht="15" hidden="0" customHeight="1">
      <x:c r="A12" s="20" t="str">
        <x:v>Overhead</x:v>
      </x:c>
      <x:c r="B12" s="20" t="str">
        <x:v>Top floor height</x:v>
      </x:c>
      <x:c r="C12" s="20" t="str">
        <x:v>Yes</x:v>
      </x:c>
      <x:c r="D12" s="20" t="str">
        <x:v>mm</x:v>
      </x:c>
      <x:c r="E12" s="20" t="str"/>
      <x:c r="F12" s="20" t="str"/>
      <x:c r="G12" s="20" t="str"/>
      <x:c r="H12" s="20" t="str">
        <x:v>LiDAR / manual</x:v>
      </x:c>
      <x:c r="I12" s="20" t="str">
        <x:v>Medium</x:v>
      </x:c>
      <x:c r="J12" s="20" t="str">
        <x:v>Unconfirmed</x:v>
      </x:c>
      <x:c r="K12" s="20" t="str">
        <x:v>Unknown</x:v>
      </x:c>
      <x:c r="L12" s="20" t="str"/>
    </x:row>
    <x:row r="13" ht="15" hidden="0" customHeight="1">
      <x:c r="A13" s="20" t="str">
        <x:v>Overhead</x:v>
      </x:c>
      <x:c r="B13" s="20" t="str">
        <x:v>Overhead clearance</x:v>
      </x:c>
      <x:c r="C13" s="20" t="str">
        <x:v>Yes</x:v>
      </x:c>
      <x:c r="D13" s="20" t="str">
        <x:v>mm</x:v>
      </x:c>
      <x:c r="E13" s="20" t="str"/>
      <x:c r="F13" s="20" t="str"/>
      <x:c r="G13" s="20" t="str"/>
      <x:c r="H13" s="20" t="str">
        <x:v>LiDAR / manual</x:v>
      </x:c>
      <x:c r="I13" s="20" t="str">
        <x:v>Medium</x:v>
      </x:c>
      <x:c r="J13" s="20" t="str">
        <x:v>Unconfirmed</x:v>
      </x:c>
      <x:c r="K13" s="20" t="str">
        <x:v>Unknown</x:v>
      </x:c>
      <x:c r="L13" s="20" t="str"/>
    </x:row>
    <x:row r="14" ht="15" hidden="0" customHeight="1">
      <x:c r="A14" s="20" t="str">
        <x:v>Overhead</x:v>
      </x:c>
      <x:c r="B14" s="20" t="str">
        <x:v>Beam / ceiling obstruction</x:v>
      </x:c>
      <x:c r="C14" s="20" t="str">
        <x:v>No</x:v>
      </x:c>
      <x:c r="D14" s="20" t="str">
        <x:v>text</x:v>
      </x:c>
      <x:c r="E14" s="20" t="str"/>
      <x:c r="F14" s="20" t="str"/>
      <x:c r="G14" s="20" t="str"/>
      <x:c r="H14" s="20" t="str">
        <x:v>Photo / manual</x:v>
      </x:c>
      <x:c r="I14" s="20" t="str">
        <x:v>Medium</x:v>
      </x:c>
      <x:c r="J14" s="20" t="str">
        <x:v>Unconfirmed</x:v>
      </x:c>
      <x:c r="K14" s="20" t="str">
        <x:v>Unknown</x:v>
      </x:c>
      <x:c r="L14" s="20" t="str"/>
    </x:row>
    <x:row r="15" ht="15" hidden="0" customHeight="1">
      <x:c r="A15" s="20" t="str">
        <x:v>Door</x:v>
      </x:c>
      <x:c r="B15" s="20" t="str">
        <x:v>Typical door opening width</x:v>
      </x:c>
      <x:c r="C15" s="20" t="str">
        <x:v>Yes</x:v>
      </x:c>
      <x:c r="D15" s="20" t="str">
        <x:v>mm</x:v>
      </x:c>
      <x:c r="E15" s="20" t="str"/>
      <x:c r="F15" s="20" t="str"/>
      <x:c r="G15" s="20" t="str"/>
      <x:c r="H15" s="20" t="str">
        <x:v>LiDAR / manual</x:v>
      </x:c>
      <x:c r="I15" s="20" t="str">
        <x:v>Medium</x:v>
      </x:c>
      <x:c r="J15" s="20" t="str">
        <x:v>Unconfirmed</x:v>
      </x:c>
      <x:c r="K15" s="20" t="str">
        <x:v>Unknown</x:v>
      </x:c>
      <x:c r="L15" s="20" t="str"/>
    </x:row>
    <x:row r="16" ht="15" hidden="0" customHeight="1">
      <x:c r="A16" s="20" t="str">
        <x:v>Door</x:v>
      </x:c>
      <x:c r="B16" s="20" t="str">
        <x:v>Typical door opening height</x:v>
      </x:c>
      <x:c r="C16" s="20" t="str">
        <x:v>Yes</x:v>
      </x:c>
      <x:c r="D16" s="20" t="str">
        <x:v>mm</x:v>
      </x:c>
      <x:c r="E16" s="20" t="str"/>
      <x:c r="F16" s="20" t="str"/>
      <x:c r="G16" s="20" t="str"/>
      <x:c r="H16" s="20" t="str">
        <x:v>LiDAR / manual</x:v>
      </x:c>
      <x:c r="I16" s="20" t="str">
        <x:v>Medium</x:v>
      </x:c>
      <x:c r="J16" s="20" t="str">
        <x:v>Unconfirmed</x:v>
      </x:c>
      <x:c r="K16" s="20" t="str">
        <x:v>Unknown</x:v>
      </x:c>
      <x:c r="L16" s="20" t="str"/>
    </x:row>
    <x:row r="17" ht="15" hidden="0" customHeight="1">
      <x:c r="A17" s="20" t="str">
        <x:v>Door</x:v>
      </x:c>
      <x:c r="B17" s="20" t="str">
        <x:v>Door centerline offset</x:v>
      </x:c>
      <x:c r="C17" s="20" t="str">
        <x:v>Yes</x:v>
      </x:c>
      <x:c r="D17" s="20" t="str">
        <x:v>mm</x:v>
      </x:c>
      <x:c r="E17" s="20" t="str"/>
      <x:c r="F17" s="20" t="str"/>
      <x:c r="G17" s="20" t="str"/>
      <x:c r="H17" s="20" t="str">
        <x:v>LiDAR / manual</x:v>
      </x:c>
      <x:c r="I17" s="20" t="str">
        <x:v>Low</x:v>
      </x:c>
      <x:c r="J17" s="20" t="str">
        <x:v>Unconfirmed</x:v>
      </x:c>
      <x:c r="K17" s="20" t="str">
        <x:v>Unknown</x:v>
      </x:c>
      <x:c r="L17" s="20" t="str"/>
    </x:row>
    <x:row r="18" ht="15" hidden="0" customHeight="1">
      <x:c r="A18" s="20" t="str">
        <x:v>Electrical</x:v>
      </x:c>
      <x:c r="B18" s="20" t="str">
        <x:v>Power/control box space</x:v>
      </x:c>
      <x:c r="C18" s="20" t="str">
        <x:v>No</x:v>
      </x:c>
      <x:c r="D18" s="20" t="str">
        <x:v>text</x:v>
      </x:c>
      <x:c r="E18" s="20" t="str"/>
      <x:c r="F18" s="20" t="str"/>
      <x:c r="G18" s="20" t="str"/>
      <x:c r="H18" s="20" t="str">
        <x:v>Manual note</x:v>
      </x:c>
      <x:c r="I18" s="20" t="str">
        <x:v>Low</x:v>
      </x:c>
      <x:c r="J18" s="20" t="str">
        <x:v>Unconfirmed</x:v>
      </x:c>
      <x:c r="K18" s="20" t="str">
        <x:v>Unknown</x:v>
      </x:c>
      <x:c r="L18" s="20" t="str"/>
    </x:row>
    <x:row r="19" ht="15" hidden="0" customHeight="1">
      <x:c r="A19" s="20" t="str">
        <x:v>Access</x:v>
      </x:c>
      <x:c r="B19" s="20" t="str">
        <x:v>Material handling access</x:v>
      </x:c>
      <x:c r="C19" s="20" t="str">
        <x:v>No</x:v>
      </x:c>
      <x:c r="D19" s="20" t="str">
        <x:v>text</x:v>
      </x:c>
      <x:c r="E19" s="20" t="str"/>
      <x:c r="F19" s="20" t="str"/>
      <x:c r="G19" s="20" t="str"/>
      <x:c r="H19" s="20" t="str">
        <x:v>Manual note</x:v>
      </x:c>
      <x:c r="I19" s="20" t="str">
        <x:v>Low</x:v>
      </x:c>
      <x:c r="J19" s="20" t="str">
        <x:v>Unconfirmed</x:v>
      </x:c>
      <x:c r="K19" s="20" t="str">
        <x:v>Unknown</x:v>
      </x:c>
      <x:c r="L19" s="20" t="str"/>
    </x:row>
    <x:row r="20" ht="15" hidden="0" customHeight="1">
      <x:c r="A20" s="20" t="str">
        <x:v>Structure</x:v>
      </x:c>
      <x:c r="B20" s="20" t="str">
        <x:v>Structural modification likely</x:v>
      </x:c>
      <x:c r="C20" s="20" t="str">
        <x:v>Yes</x:v>
      </x:c>
      <x:c r="D20" s="20" t="str">
        <x:v>Yes/No</x:v>
      </x:c>
      <x:c r="E20" s="20" t="str"/>
      <x:c r="F20" s="20" t="str"/>
      <x:c r="G20" s="20" t="str"/>
      <x:c r="H20" s="20" t="str">
        <x:v>Manual judgment</x:v>
      </x:c>
      <x:c r="I20" s="20" t="str">
        <x:v>Low</x:v>
      </x:c>
      <x:c r="J20" s="20" t="str">
        <x:v>Unconfirmed</x:v>
      </x:c>
      <x:c r="K20" s="20" t="str">
        <x:v>Unknown</x:v>
      </x:c>
      <x:c r="L20" s="20" t="str"/>
    </x:row>
    <x:row r="21" ht="15" hidden="0" customHeight="1">
      <x:c r="A21" s="20" t="str">
        <x:v>General</x:v>
      </x:c>
      <x:c r="B21" s="20" t="str">
        <x:v>Additional follow-up required</x:v>
      </x:c>
      <x:c r="C21" s="20" t="str">
        <x:v>No</x:v>
      </x:c>
      <x:c r="D21" s="20" t="str">
        <x:v>text</x:v>
      </x:c>
      <x:c r="E21" s="20" t="str"/>
      <x:c r="F21" s="20" t="str"/>
      <x:c r="G21" s="20" t="str"/>
      <x:c r="H21" s="20" t="str">
        <x:v>Manual note</x:v>
      </x:c>
      <x:c r="I21" s="20" t="str">
        <x:v>Low</x:v>
      </x:c>
      <x:c r="J21" s="20" t="str">
        <x:v>Unconfirmed</x:v>
      </x:c>
      <x:c r="K21" s="20" t="str">
        <x:v>Unknown</x:v>
      </x:c>
      <x:c r="L21" s="2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559999942779541" hidden="0" customWidth="1"/>
    <x:col min="2" max="2" width="20.219999313354492" hidden="0" customWidth="1"/>
    <x:col min="3" max="3" width="20.780000686645508" hidden="0" customWidth="1"/>
    <x:col min="4" max="4" width="12.5600004196167" hidden="0" customWidth="1"/>
    <x:col min="5" max="5" width="17.780000686645508" hidden="0" customWidth="1"/>
    <x:col min="6" max="6" width="16.110000610351562" hidden="0" customWidth="1"/>
    <x:col min="7" max="7" width="9.670000076293945" hidden="0" customWidth="1"/>
    <x:col min="8" max="8" width="9.890000343322754" hidden="0" customWidth="1"/>
    <x:col min="9" max="9" width="5.110000133514404" hidden="0" customWidth="1"/>
  </x:cols>
  <x:sheetData>
    <x:row r="1" ht="15" hidden="0" customHeight="1">
      <x:c r="A1" s="33" t="str">
        <x:v>Floor</x:v>
      </x:c>
      <x:c r="B1" s="33" t="str">
        <x:v>Door opening width (mm)</x:v>
      </x:c>
      <x:c r="C1" s="33" t="str">
        <x:v>Door opening height (mm)</x:v>
      </x:c>
      <x:c r="D1" s="33" t="str">
        <x:v>Sill height (mm)</x:v>
      </x:c>
      <x:c r="E1" s="33" t="str">
        <x:v>Centerline offset (mm)</x:v>
      </x:c>
      <x:c r="F1" s="33" t="str">
        <x:v>Wall thickness (mm)</x:v>
      </x:c>
      <x:c r="G1" s="33" t="str">
        <x:v>Obstruction</x:v>
      </x:c>
      <x:c r="H1" s="33" t="str">
        <x:v>Final status</x:v>
      </x:c>
      <x:c r="I1" s="33" t="str">
        <x:v>Notes</x:v>
      </x:c>
    </x:row>
    <x:row r="2" ht="15" hidden="0" customHeight="1">
      <x:c r="A2" s="20" t="str">
        <x:v>F1</x:v>
      </x:c>
      <x:c r="B2" s="20" t="str"/>
      <x:c r="C2" s="20" t="str"/>
      <x:c r="D2" s="20" t="str"/>
      <x:c r="E2" s="20" t="str"/>
      <x:c r="F2" s="20" t="str"/>
      <x:c r="G2" s="20" t="str"/>
      <x:c r="H2" s="20" t="str">
        <x:v>Unconfirmed</x:v>
      </x:c>
      <x:c r="I2" s="20" t="str"/>
    </x:row>
    <x:row r="3" ht="15" hidden="0" customHeight="1">
      <x:c r="A3" s="20" t="str">
        <x:v>F2</x:v>
      </x:c>
      <x:c r="B3" s="20" t="str"/>
      <x:c r="C3" s="20" t="str"/>
      <x:c r="D3" s="20" t="str"/>
      <x:c r="E3" s="20" t="str"/>
      <x:c r="F3" s="20" t="str"/>
      <x:c r="G3" s="20" t="str"/>
      <x:c r="H3" s="20" t="str">
        <x:v>Unconfirmed</x:v>
      </x:c>
      <x:c r="I3" s="20" t="str"/>
    </x:row>
    <x:row r="4" ht="15" hidden="0" customHeight="1">
      <x:c r="A4" s="20" t="str">
        <x:v>F3</x:v>
      </x:c>
      <x:c r="B4" s="20" t="str"/>
      <x:c r="C4" s="20" t="str"/>
      <x:c r="D4" s="20" t="str"/>
      <x:c r="E4" s="20" t="str"/>
      <x:c r="F4" s="20" t="str"/>
      <x:c r="G4" s="20" t="str"/>
      <x:c r="H4" s="20" t="str">
        <x:v>Unconfirmed</x:v>
      </x:c>
      <x:c r="I4" s="20" t="str"/>
    </x:row>
    <x:row r="5" ht="15" hidden="0" customHeight="1">
      <x:c r="A5" s="20" t="str">
        <x:v>F4</x:v>
      </x:c>
      <x:c r="B5" s="20" t="str"/>
      <x:c r="C5" s="20" t="str"/>
      <x:c r="D5" s="20" t="str"/>
      <x:c r="E5" s="20" t="str"/>
      <x:c r="F5" s="20" t="str"/>
      <x:c r="G5" s="20" t="str"/>
      <x:c r="H5" s="20" t="str">
        <x:v>Unconfirmed</x:v>
      </x:c>
      <x:c r="I5" s="20" t="str"/>
    </x:row>
    <x:row r="6" ht="15" hidden="0" customHeight="1">
      <x:c r="A6" s="20" t="str">
        <x:v>F5</x:v>
      </x:c>
      <x:c r="B6" s="20" t="str"/>
      <x:c r="C6" s="20" t="str"/>
      <x:c r="D6" s="20" t="str"/>
      <x:c r="E6" s="20" t="str"/>
      <x:c r="F6" s="20" t="str"/>
      <x:c r="G6" s="20" t="str"/>
      <x:c r="H6" s="20" t="str">
        <x:v>Unconfirmed</x:v>
      </x:c>
      <x:c r="I6" s="20" t="str"/>
    </x:row>
    <x:row r="7" ht="15" hidden="0" customHeight="1">
      <x:c r="A7" s="20" t="str">
        <x:v>Other</x:v>
      </x:c>
      <x:c r="B7" s="20" t="str"/>
      <x:c r="C7" s="20" t="str"/>
      <x:c r="D7" s="20" t="str"/>
      <x:c r="E7" s="20" t="str"/>
      <x:c r="F7" s="20" t="str"/>
      <x:c r="G7" s="20" t="str"/>
      <x:c r="H7" s="20" t="str">
        <x:v>Unconfirmed</x:v>
      </x:c>
      <x:c r="I7" s="2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220000267028809" hidden="0" customWidth="1"/>
    <x:col min="2" max="2" width="23.440000534057617" hidden="0" customWidth="1"/>
    <x:col min="3" max="3" width="7.440000057220459" hidden="0" customWidth="1"/>
    <x:col min="4" max="4" width="6.78000020980835" hidden="0" customWidth="1"/>
    <x:col min="5" max="5" width="7.559999942779541" hidden="0" customWidth="1"/>
    <x:col min="6" max="6" width="14.109999656677246" hidden="0" customWidth="1"/>
    <x:col min="7" max="7" width="14.779999732971191" hidden="0" customWidth="1"/>
    <x:col min="8" max="8" width="15.109999656677246" hidden="0" customWidth="1"/>
  </x:cols>
  <x:sheetData>
    <x:row r="1" ht="15" hidden="0" customHeight="1">
      <x:c r="A1" s="33" t="str">
        <x:v>Risk category</x:v>
      </x:c>
      <x:c r="B1" s="33" t="str">
        <x:v>Risk item</x:v>
      </x:c>
      <x:c r="C1" s="33" t="str">
        <x:v>Status</x:v>
      </x:c>
      <x:c r="D1" s="33" t="str">
        <x:v>Severity</x:v>
      </x:c>
      <x:c r="E1" s="33" t="str">
        <x:v>Evidence</x:v>
      </x:c>
      <x:c r="F1" s="33" t="str">
        <x:v>Suggested action</x:v>
      </x:c>
      <x:c r="G1" s="33" t="str">
        <x:v>Responsible role</x:v>
      </x:c>
      <x:c r="H1" s="33" t="str">
        <x:v>Follow-up required</x:v>
      </x:c>
    </x:row>
    <x:row r="2" ht="15" hidden="0" customHeight="1">
      <x:c r="A2" s="20" t="str">
        <x:v>Shaft</x:v>
      </x:c>
      <x:c r="B2" s="20" t="str">
        <x:v>Width insufficient</x:v>
      </x:c>
      <x:c r="C2" s="20" t="str">
        <x:v>Unknown</x:v>
      </x:c>
      <x:c r="D2" s="20" t="str">
        <x:v>Medium</x:v>
      </x:c>
      <x:c r="E2" s="20" t="str"/>
      <x:c r="F2" s="20" t="str"/>
      <x:c r="G2" s="20" t="str">
        <x:v>Design</x:v>
      </x:c>
      <x:c r="H2" s="20" t="str">
        <x:v>Yes</x:v>
      </x:c>
    </x:row>
    <x:row r="3" ht="15" hidden="0" customHeight="1">
      <x:c r="A3" s="20" t="str">
        <x:v>Shaft</x:v>
      </x:c>
      <x:c r="B3" s="20" t="str">
        <x:v>Depth insufficient</x:v>
      </x:c>
      <x:c r="C3" s="20" t="str">
        <x:v>Unknown</x:v>
      </x:c>
      <x:c r="D3" s="20" t="str">
        <x:v>Medium</x:v>
      </x:c>
      <x:c r="E3" s="20" t="str"/>
      <x:c r="F3" s="20" t="str"/>
      <x:c r="G3" s="20" t="str">
        <x:v>Design</x:v>
      </x:c>
      <x:c r="H3" s="20" t="str">
        <x:v>Yes</x:v>
      </x:c>
    </x:row>
    <x:row r="4" ht="15" hidden="0" customHeight="1">
      <x:c r="A4" s="20" t="str">
        <x:v>Pit</x:v>
      </x:c>
      <x:c r="B4" s="20" t="str">
        <x:v>Pit depth insufficient</x:v>
      </x:c>
      <x:c r="C4" s="20" t="str">
        <x:v>Unknown</x:v>
      </x:c>
      <x:c r="D4" s="20" t="str">
        <x:v>High</x:v>
      </x:c>
      <x:c r="E4" s="20" t="str"/>
      <x:c r="F4" s="20" t="str"/>
      <x:c r="G4" s="20" t="str">
        <x:v>Design / installation</x:v>
      </x:c>
      <x:c r="H4" s="20" t="str">
        <x:v>Yes</x:v>
      </x:c>
    </x:row>
    <x:row r="5" ht="15" hidden="0" customHeight="1">
      <x:c r="A5" s="20" t="str">
        <x:v>Overhead</x:v>
      </x:c>
      <x:c r="B5" s="20" t="str">
        <x:v>Overhead insufficient</x:v>
      </x:c>
      <x:c r="C5" s="20" t="str">
        <x:v>Unknown</x:v>
      </x:c>
      <x:c r="D5" s="20" t="str">
        <x:v>High</x:v>
      </x:c>
      <x:c r="E5" s="20" t="str"/>
      <x:c r="F5" s="20" t="str"/>
      <x:c r="G5" s="20" t="str">
        <x:v>Design / installation</x:v>
      </x:c>
      <x:c r="H5" s="20" t="str">
        <x:v>Yes</x:v>
      </x:c>
    </x:row>
    <x:row r="6" ht="15" hidden="0" customHeight="1">
      <x:c r="A6" s="20" t="str">
        <x:v>Shaft</x:v>
      </x:c>
      <x:c r="B6" s="20" t="str">
        <x:v>Shaft not vertical</x:v>
      </x:c>
      <x:c r="C6" s="20" t="str">
        <x:v>Unknown</x:v>
      </x:c>
      <x:c r="D6" s="20" t="str">
        <x:v>Medium</x:v>
      </x:c>
      <x:c r="E6" s="20" t="str"/>
      <x:c r="F6" s="20" t="str"/>
      <x:c r="G6" s="20" t="str">
        <x:v>Survey / design</x:v>
      </x:c>
      <x:c r="H6" s="20" t="str">
        <x:v>Yes</x:v>
      </x:c>
    </x:row>
    <x:row r="7" ht="15" hidden="0" customHeight="1">
      <x:c r="A7" s="20" t="str">
        <x:v>Structure</x:v>
      </x:c>
      <x:c r="B7" s="20" t="str">
        <x:v>Beam or pipe obstruction</x:v>
      </x:c>
      <x:c r="C7" s="20" t="str">
        <x:v>Unknown</x:v>
      </x:c>
      <x:c r="D7" s="20" t="str">
        <x:v>Medium</x:v>
      </x:c>
      <x:c r="E7" s="20" t="str"/>
      <x:c r="F7" s="20" t="str"/>
      <x:c r="G7" s="20" t="str">
        <x:v>Installation</x:v>
      </x:c>
      <x:c r="H7" s="20" t="str">
        <x:v>Yes</x:v>
      </x:c>
    </x:row>
    <x:row r="8" ht="15" hidden="0" customHeight="1">
      <x:c r="A8" s="20" t="str">
        <x:v>Door</x:v>
      </x:c>
      <x:c r="B8" s="20" t="str">
        <x:v>Door opening mismatch</x:v>
      </x:c>
      <x:c r="C8" s="20" t="str">
        <x:v>Unknown</x:v>
      </x:c>
      <x:c r="D8" s="20" t="str">
        <x:v>Medium</x:v>
      </x:c>
      <x:c r="E8" s="20" t="str"/>
      <x:c r="F8" s="20" t="str"/>
      <x:c r="G8" s="20" t="str">
        <x:v>Design</x:v>
      </x:c>
      <x:c r="H8" s="20" t="str">
        <x:v>Yes</x:v>
      </x:c>
    </x:row>
    <x:row r="9" ht="15" hidden="0" customHeight="1">
      <x:c r="A9" s="20" t="str">
        <x:v>Structure</x:v>
      </x:c>
      <x:c r="B9" s="20" t="str">
        <x:v>Structural modification required</x:v>
      </x:c>
      <x:c r="C9" s="20" t="str">
        <x:v>Unknown</x:v>
      </x:c>
      <x:c r="D9" s="20" t="str">
        <x:v>High</x:v>
      </x:c>
      <x:c r="E9" s="20" t="str"/>
      <x:c r="F9" s="20" t="str"/>
      <x:c r="G9" s="20" t="str">
        <x:v>Owner / contractor</x:v>
      </x:c>
      <x:c r="H9" s="20" t="str">
        <x:v>Yes</x:v>
      </x:c>
    </x:row>
    <x:row r="10" ht="15" hidden="0" customHeight="1">
      <x:c r="A10" s="20" t="str">
        <x:v>Pit</x:v>
      </x:c>
      <x:c r="B10" s="20" t="str">
        <x:v>Water or drainage risk</x:v>
      </x:c>
      <x:c r="C10" s="20" t="str">
        <x:v>Unknown</x:v>
      </x:c>
      <x:c r="D10" s="20" t="str">
        <x:v>Medium</x:v>
      </x:c>
      <x:c r="E10" s="20" t="str"/>
      <x:c r="F10" s="20" t="str"/>
      <x:c r="G10" s="20" t="str">
        <x:v>Installation</x:v>
      </x:c>
      <x:c r="H10" s="20" t="str">
        <x:v>Yes</x:v>
      </x:c>
    </x:row>
    <x:row r="11" ht="15" hidden="0" customHeight="1">
      <x:c r="A11" s="20" t="str">
        <x:v>Electrical</x:v>
      </x:c>
      <x:c r="B11" s="20" t="str">
        <x:v>Power/control box space issue</x:v>
      </x:c>
      <x:c r="C11" s="20" t="str">
        <x:v>Unknown</x:v>
      </x:c>
      <x:c r="D11" s="20" t="str">
        <x:v>Low</x:v>
      </x:c>
      <x:c r="E11" s="20" t="str"/>
      <x:c r="F11" s="20" t="str"/>
      <x:c r="G11" s="20" t="str">
        <x:v>Electrical</x:v>
      </x:c>
      <x:c r="H11" s="20" t="str">
        <x:v>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21999979019165" hidden="0" customWidth="1"/>
    <x:col min="2" max="2" width="7.559999942779541" hidden="0" customWidth="1"/>
    <x:col min="3" max="3" width="10.4399995803833" hidden="0" customWidth="1"/>
    <x:col min="4" max="4" width="19.889999389648438" hidden="0" customWidth="1"/>
    <x:col min="5" max="5" width="6.559999942779541" hidden="0" customWidth="1"/>
    <x:col min="6" max="6" width="5.110000133514404" hidden="0" customWidth="1"/>
  </x:cols>
  <x:sheetData>
    <x:row r="1" ht="15" hidden="0" customHeight="1">
      <x:c r="A1" s="33" t="str">
        <x:v>Photo ID</x:v>
      </x:c>
      <x:c r="B1" s="33" t="str">
        <x:v>Location</x:v>
      </x:c>
      <x:c r="C1" s="33" t="str">
        <x:v>View type</x:v>
      </x:c>
      <x:c r="D1" s="33" t="str">
        <x:v>Related measurement</x:v>
      </x:c>
      <x:c r="E1" s="33" t="str">
        <x:v>File/link</x:v>
      </x:c>
      <x:c r="F1" s="33" t="str">
        <x:v>Notes</x:v>
      </x:c>
    </x:row>
    <x:row r="2" ht="15" hidden="0" customHeight="1">
      <x:c r="A2" s="20" t="str">
        <x:v>P001</x:v>
      </x:c>
      <x:c r="B2" s="20" t="str">
        <x:v>Site</x:v>
      </x:c>
      <x:c r="C2" s="20" t="str">
        <x:v>Overview</x:v>
      </x:c>
      <x:c r="D2" s="20" t="str"/>
      <x:c r="E2" s="20" t="str"/>
      <x:c r="F2" s="20" t="str"/>
    </x:row>
    <x:row r="3" ht="15" hidden="0" customHeight="1">
      <x:c r="A3" s="20" t="str">
        <x:v>P002</x:v>
      </x:c>
      <x:c r="B3" s="20" t="str">
        <x:v>Shaft</x:v>
      </x:c>
      <x:c r="C3" s="20" t="str">
        <x:v>Front</x:v>
      </x:c>
      <x:c r="D3" s="20" t="str">
        <x:v>Shaft clear width/depth</x:v>
      </x:c>
      <x:c r="E3" s="20" t="str"/>
      <x:c r="F3" s="20" t="str"/>
    </x:row>
    <x:row r="4" ht="15" hidden="0" customHeight="1">
      <x:c r="A4" s="20" t="str">
        <x:v>P003</x:v>
      </x:c>
      <x:c r="B4" s="20" t="str">
        <x:v>Pit</x:v>
      </x:c>
      <x:c r="C4" s="20" t="str">
        <x:v>Top-down</x:v>
      </x:c>
      <x:c r="D4" s="20" t="str">
        <x:v>Pit depth</x:v>
      </x:c>
      <x:c r="E4" s="20" t="str"/>
      <x:c r="F4" s="20" t="str"/>
    </x:row>
    <x:row r="5" ht="15" hidden="0" customHeight="1">
      <x:c r="A5" s="20" t="str">
        <x:v>P004</x:v>
      </x:c>
      <x:c r="B5" s="20" t="str">
        <x:v>Overhead</x:v>
      </x:c>
      <x:c r="C5" s="20" t="str">
        <x:v>Upward</x:v>
      </x:c>
      <x:c r="D5" s="20" t="str">
        <x:v>Overhead clearance</x:v>
      </x:c>
      <x:c r="E5" s="20" t="str"/>
      <x:c r="F5" s="20" t="str"/>
    </x:row>
    <x:row r="6" ht="15" hidden="0" customHeight="1">
      <x:c r="A6" s="20" t="str">
        <x:v>P005</x:v>
      </x:c>
      <x:c r="B6" s="20" t="str">
        <x:v>F1</x:v>
      </x:c>
      <x:c r="C6" s="20" t="str">
        <x:v>Door opening</x:v>
      </x:c>
      <x:c r="D6" s="20" t="str">
        <x:v>Door opening width/height</x:v>
      </x:c>
      <x:c r="E6" s="20" t="str"/>
      <x:c r="F6" s="20" t="str"/>
    </x:row>
    <x:row r="7" ht="15" hidden="0" customHeight="1">
      <x:c r="A7" s="20" t="str">
        <x:v>P006</x:v>
      </x:c>
      <x:c r="B7" s="20" t="str">
        <x:v>F2</x:v>
      </x:c>
      <x:c r="C7" s="20" t="str">
        <x:v>Door opening</x:v>
      </x:c>
      <x:c r="D7" s="20" t="str">
        <x:v>Door opening width/height</x:v>
      </x:c>
      <x:c r="E7" s="20" t="str"/>
      <x:c r="F7" s="20" t="str"/>
    </x:row>
    <x:row r="8" ht="15" hidden="0" customHeight="1">
      <x:c r="A8" s="20" t="str">
        <x:v>P007</x:v>
      </x:c>
      <x:c r="B8" s="20" t="str">
        <x:v>F3</x:v>
      </x:c>
      <x:c r="C8" s="20" t="str">
        <x:v>Door opening</x:v>
      </x:c>
      <x:c r="D8" s="20" t="str">
        <x:v>Door opening width/height</x:v>
      </x:c>
      <x:c r="E8" s="20" t="str"/>
      <x:c r="F8" s="20" t="str"/>
    </x:row>
    <x:row r="9" ht="15" hidden="0" customHeight="1">
      <x:c r="A9" s="20" t="str">
        <x:v>P008</x:v>
      </x:c>
      <x:c r="B9" s="20" t="str">
        <x:v>Other</x:v>
      </x:c>
      <x:c r="C9" s="20" t="str">
        <x:v>Risk detail</x:v>
      </x:c>
      <x:c r="D9" s="20" t="str"/>
      <x:c r="E9" s="20" t="str"/>
      <x:c r="F9" s="2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.560001373291016" hidden="0" customWidth="1"/>
    <x:col min="2" max="2" width="11.670000076293945" hidden="0" customWidth="1"/>
  </x:cols>
  <x:sheetData>
    <x:row r="1" ht="16.799999237060547" hidden="0" customHeight="1">
      <x:c r="A1" s="4" t="str">
        <x:v>Villa Elevator Retrofit Survey Summary</x:v>
      </x:c>
      <x:c r="B1" s="4" t="str"/>
      <x:c r="C1" s="4" t="str"/>
      <x:c r="D1" s="4" t="str"/>
    </x:row>
    <x:row r="2"/>
    <x:row r="3" ht="15" hidden="0" customHeight="1">
      <x:c r="A3" s="19" t="str">
        <x:v>Overall feasibility</x:v>
      </x:c>
      <x:c r="B3" s="20" t="str">
        <x:v>Pending review</x:v>
      </x:c>
    </x:row>
    <x:row r="4" ht="15" hidden="0" customHeight="1">
      <x:c r="A4" s="19" t="str">
        <x:v>High risks</x:v>
      </x:c>
      <x:c r="B4" s="20" t="n">
        <x:f>COUNTIFS(Risk_Checklist!C2:C11,"Risk",Risk_Checklist!D2:D11,"High")</x:f>
        <x:v>0</x:v>
      </x:c>
    </x:row>
    <x:row r="5" ht="15" hidden="0" customHeight="1">
      <x:c r="A5" s="19" t="str">
        <x:v>Medium risks</x:v>
      </x:c>
      <x:c r="B5" s="20" t="n">
        <x:f>COUNTIFS(Risk_Checklist!C2:C11,"Risk",Risk_Checklist!D2:D11,"Medium")</x:f>
        <x:v>0</x:v>
      </x:c>
    </x:row>
    <x:row r="6" ht="15" hidden="0" customHeight="1">
      <x:c r="A6" s="19" t="str">
        <x:v>Missing required measurements</x:v>
      </x:c>
      <x:c r="B6" s="20" t="n">
        <x:f>SUMPRODUCT((Key_Measurements!C2:C21="Yes")*(Key_Measurements!G2:G21=""))</x:f>
        <x:v>12</x:v>
      </x:c>
    </x:row>
    <x:row r="7" ht="15" hidden="0" customHeight="1">
      <x:c r="A7" s="19" t="str">
        <x:v>Measurements pending confirmation</x:v>
      </x:c>
      <x:c r="B7" s="20" t="n">
        <x:f>COUNTIF(Key_Measurements!J2:J21,"Unconfirmed")</x:f>
        <x:v>20</x:v>
      </x:c>
    </x:row>
    <x:row r="8" ht="15" hidden="0" customHeight="1">
      <x:c r="A8" s="19" t="str">
        <x:v>Door openings pending confirmation</x:v>
      </x:c>
      <x:c r="B8" s="20" t="n">
        <x:f>COUNTIF(Door_Openings!H2:H7,"Unconfirmed")</x:f>
        <x:v>6</x:v>
      </x:c>
    </x:row>
    <x:row r="9" ht="15" hidden="0" customHeight="1">
      <x:c r="A9" s="19" t="str">
        <x:v>Recommended next step</x:v>
      </x:c>
      <x:c r="B9" s="20" t="str"/>
    </x:row>
    <x:row r="10"/>
    <x:row r="11"/>
    <x:row r="12"/>
  </x:sheetData>
  <x:mergeCells>
    <x:mergeCell ref="A1:D1"/>
  </x:mergeCells>
  <x:pageMargins left="0.7" right="0.7" top="0.75" bottom="0.75" header="0.3" footer="0.3"/>
</x:worksheet>
</file>